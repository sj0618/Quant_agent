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28c138f7c446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_MASTER" sheetId="1" r:id="Raff664e89dd84520"/>
    <x:sheet xmlns:r="http://schemas.openxmlformats.org/officeDocument/2006/relationships" name="설정_목록" sheetId="2" r:id="R7a48321570ca4f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yyyy-mm-dd"/>
    <x:numFmt numFmtId="202" formatCode="0%"/>
    <x:numFmt numFmtId="203" formatCode="0"/>
  </x:numFmts>
  <x:fonts count="21">
    <x:font>
      <x:sz val="11"/>
      <x:name val="Carlito"/>
    </x:font>
    <x:font>
      <x:b/>
      <x:sz val="15"/>
      <x:color rgb="FFFFFFFF"/>
      <x:name val="Carlito"/>
    </x:font>
    <x:font>
      <x:b/>
      <x:sz val="10"/>
      <x:color rgb="FFFFFFFF"/>
      <x:name val="Carlito"/>
    </x:font>
    <x:font>
      <x:sz val="9"/>
      <x:color rgb="FF1E293B"/>
      <x:name val="Carlito"/>
    </x:font>
    <x:font>
      <x:sz val="9"/>
      <x:color rgb="FF0000FF"/>
      <x:name val="Carlito"/>
    </x:font>
    <x:font>
      <x:sz val="9"/>
      <x:color rgb="FF008000"/>
      <x:name val="Carlito"/>
    </x:font>
    <x:font>
      <x:b/>
      <x:sz val="11"/>
      <x:color rgb="FF7F6000"/>
      <x:name val="Carlito"/>
    </x:font>
    <x:font>
      <x:b/>
      <x:i/>
      <x:sz val="16"/>
      <x:color rgb="FF111827"/>
      <x:name val="Carlito"/>
    </x:font>
    <x:font>
      <x:b/>
      <x:i/>
      <x:sz val="11"/>
      <x:name val="Carlito"/>
    </x:font>
    <x:font>
      <x:b/>
      <x:sz val="11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b/>
      <x:sz val="12"/>
      <x:color rgb="FF006100"/>
      <x:name val="Carlito"/>
    </x:font>
    <x:font>
      <x:b/>
      <x:sz val="12"/>
      <x:color rgb="FF9C0006"/>
      <x:name val="Carlito"/>
    </x:font>
    <x:font>
      <x:b/>
      <x:sz val="12"/>
      <x:color rgb="FF7F6000"/>
      <x:name val="Carlito"/>
    </x:font>
    <x:font>
      <x:b/>
      <x:sz val="10"/>
      <x:color rgb="FF0B2F4A"/>
      <x:name val="Carlito"/>
    </x:font>
    <x:font>
      <x:b/>
      <x:sz val="9"/>
      <x:color rgb="FF1E4B62"/>
      <x:name val="Carlito"/>
    </x:font>
    <x:font>
      <x:b/>
      <x:sz val="10"/>
      <x:color rgb="FF008000"/>
      <x:name val="Carlito"/>
    </x:font>
    <x:font>
      <x:b/>
      <x:sz val="9"/>
      <x:color rgb="FF008000"/>
      <x:name val="Carlito"/>
    </x:font>
    <x:font>
      <x:b/>
      <x:sz val="10"/>
      <x:color rgb="FF0000FF"/>
      <x:name val="Carlito"/>
    </x:font>
    <x:font>
      <x:b/>
      <x:sz val="9"/>
      <x:color rgb="FF0000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0B2F4A"/>
      </x:patternFill>
    </x:fill>
    <x:fill>
      <x:patternFill patternType="solid">
        <x:fgColor rgb="FF07364A"/>
      </x:patternFill>
    </x:fill>
    <x:fill>
      <x:patternFill patternType="solid">
        <x:fgColor rgb="FFFFF2CC"/>
      </x:patternFill>
    </x:fill>
    <x:fill>
      <x:patternFill patternType="solid">
        <x:fgColor rgb="FFBFE3F2"/>
      </x:patternFill>
    </x:fill>
    <x:fill>
      <x:patternFill patternType="solid">
        <x:fgColor rgb="FFE5A6D4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D9EEF7"/>
      </x:patternFill>
    </x:fill>
    <x:fill>
      <x:patternFill patternType="solid">
        <x:fgColor rgb="FFEAF5FA"/>
      </x:patternFill>
    </x:fill>
    <x:fill>
      <x:patternFill patternType="solid">
        <x:fgColor rgb="FFF7FBFD"/>
      </x:patternFill>
    </x:fill>
  </x:fills>
  <x:borders count="15">
    <x:border/>
    <x:border>
      <x:left style="thin">
        <x:color rgb="FFA7B6C2"/>
      </x:left>
      <x:right style="thin">
        <x:color rgb="FFA7B6C2"/>
      </x:right>
      <x:top style="thin">
        <x:color rgb="FFA7B6C2"/>
      </x:top>
      <x:bottom style="thin">
        <x:color rgb="FFA7B6C2"/>
      </x:bottom>
    </x:border>
    <x:border>
      <x:right style="thin">
        <x:color rgb="FFD8E2E8"/>
      </x:right>
      <x:bottom style="thin">
        <x:color rgb="FFD8E2E8"/>
      </x:bottom>
    </x:border>
    <x:border>
      <x:left style="thin">
        <x:color rgb="FFD8E2E8"/>
      </x:left>
      <x:right style="thin">
        <x:color rgb="FFD8E2E8"/>
      </x:right>
      <x:bottom style="thin">
        <x:color rgb="FFD8E2E8"/>
      </x:bottom>
    </x:border>
    <x:border>
      <x:left style="thin">
        <x:color rgb="FFD8E2E8"/>
      </x:left>
      <x:bottom style="thin">
        <x:color rgb="FFD8E2E8"/>
      </x:bottom>
    </x:border>
    <x:border>
      <x:right style="thin">
        <x:color rgb="FFD8E2E8"/>
      </x:right>
      <x:top style="thin">
        <x:color rgb="FFD8E2E8"/>
      </x:top>
      <x:bottom style="thin">
        <x:color rgb="FFD8E2E8"/>
      </x:bottom>
    </x:border>
    <x:border>
      <x:left style="thin">
        <x:color rgb="FFD8E2E8"/>
      </x:left>
      <x:right style="thin">
        <x:color rgb="FFD8E2E8"/>
      </x:right>
      <x:top style="thin">
        <x:color rgb="FFD8E2E8"/>
      </x:top>
      <x:bottom style="thin">
        <x:color rgb="FFD8E2E8"/>
      </x:bottom>
    </x:border>
    <x:border>
      <x:left style="thin">
        <x:color rgb="FFD8E2E8"/>
      </x:left>
      <x:top style="thin">
        <x:color rgb="FFD8E2E8"/>
      </x:top>
      <x:bottom style="thin">
        <x:color rgb="FFD8E2E8"/>
      </x:bottom>
    </x:border>
    <x:border>
      <x:right style="thin">
        <x:color rgb="FFD8E2E8"/>
      </x:right>
      <x:top style="thin">
        <x:color rgb="FFD8E2E8"/>
      </x:top>
    </x:border>
    <x:border>
      <x:left style="thin">
        <x:color rgb="FFD8E2E8"/>
      </x:left>
      <x:right style="thin">
        <x:color rgb="FFD8E2E8"/>
      </x:right>
      <x:top style="thin">
        <x:color rgb="FFD8E2E8"/>
      </x:top>
    </x:border>
    <x:border>
      <x:left style="thin">
        <x:color rgb="FFD8E2E8"/>
      </x:left>
      <x:top style="thin">
        <x:color rgb="FFD8E2E8"/>
      </x:top>
    </x:border>
    <x:border>
      <x:left style="medium">
        <x:color rgb="FF111827"/>
      </x:left>
      <x:right style="medium">
        <x:color rgb="FF111827"/>
      </x:right>
      <x:top style="medium">
        <x:color rgb="FF111827"/>
      </x:top>
      <x:bottom style="medium">
        <x:color rgb="FF111827"/>
      </x:bottom>
    </x:border>
    <x:border>
      <x:right style="thin">
        <x:color rgb="FFC9DAE3"/>
      </x:right>
      <x:bottom style="thin">
        <x:color rgb="FFD8E2E8"/>
      </x:bottom>
    </x:border>
    <x:border>
      <x:left style="thin">
        <x:color rgb="FFC9DAE3"/>
      </x:left>
      <x:right style="thin">
        <x:color rgb="FFC9DAE3"/>
      </x:right>
      <x:bottom style="thin">
        <x:color rgb="FFD8E2E8"/>
      </x:bottom>
    </x:border>
    <x:border>
      <x:left style="thin">
        <x:color rgb="FFC9DAE3"/>
      </x:left>
      <x:right style="thin">
        <x:color rgb="FFD8E2E8"/>
      </x:right>
      <x:bottom style="thin">
        <x:color rgb="FFD8E2E8"/>
      </x:bottom>
    </x:border>
  </x:borders>
  <x:cellStyleXfs count="1">
    <x:xf numFmtId="0" fontId="0" fillId="0" borderId="0"/>
  </x:cellStyleXfs>
  <x:cellXfs count="1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200" fontId="5" fillId="0" borderId="3" xfId="0" applyNumberFormat="1" applyFont="1" applyFill="1" applyBorder="1" applyAlignment="1">
      <x:alignment vertical="top" wrapText="1"/>
    </x:xf>
    <x:xf numFmtId="200" fontId="5" fillId="0" borderId="6" xfId="0" applyNumberFormat="1" applyFont="1" applyFill="1" applyBorder="1" applyAlignment="1">
      <x:alignment vertical="top" wrapText="1"/>
    </x:xf>
    <x:xf numFmtId="200" fontId="5" fillId="0" borderId="9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/>
    <x:xf numFmtId="0" fontId="8" fillId="4" borderId="11" xfId="0" applyNumberFormat="1" applyFont="1" applyFill="1" applyBorder="1"/>
    <x:xf numFmtId="0" fontId="8" fillId="4" borderId="11" xfId="0" applyNumberFormat="1" applyFont="1" applyFill="1" applyBorder="1" applyAlignment="1">
      <x:alignment horizontal="center"/>
    </x:xf>
    <x:xf numFmtId="0" fontId="8" fillId="4" borderId="1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10" fillId="2" borderId="0" xfId="0" applyNumberFormat="1" applyFont="1" applyFill="1" applyBorder="1"/>
    <x:xf numFmtId="201" fontId="10" fillId="2" borderId="0" xfId="0" applyNumberFormat="1" applyFont="1" applyFill="1" applyBorder="1"/>
    <x:xf numFmtId="201" fontId="10" fillId="2" borderId="0" xfId="0" applyNumberFormat="1" applyFont="1" applyFill="1" applyBorder="1" applyAlignment="1">
      <x:alignment horizontal="center"/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horizontal="center"/>
    </x:xf>
    <x:xf numFmtId="201" fontId="11" fillId="2" borderId="0" xfId="0" applyNumberFormat="1" applyFont="1" applyFill="1" applyBorder="1"/>
    <x:xf numFmtId="201" fontId="11" fillId="2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202" fontId="12" fillId="7" borderId="0" xfId="0" applyNumberFormat="1" applyFont="1" applyFill="1" applyBorder="1"/>
    <x:xf numFmtId="202" fontId="12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3" fillId="8" borderId="0" xfId="0" applyNumberFormat="1" applyFont="1" applyFill="1" applyBorder="1"/>
    <x:xf numFmtId="0" fontId="13" fillId="8" borderId="0" xfId="0" applyNumberFormat="1" applyFont="1" applyFill="1" applyBorder="1" applyAlignment="1">
      <x:alignment horizontal="center"/>
    </x:xf>
    <x:xf numFmtId="0" fontId="14" fillId="4" borderId="0" xfId="0" applyNumberFormat="1" applyFont="1" applyFill="1" applyBorder="1"/>
    <x:xf numFmtId="0" fontId="14" fillId="4" borderId="0" xfId="0" applyNumberFormat="1" applyFont="1" applyFill="1" applyBorder="1" applyAlignment="1">
      <x:alignment horizontal="center"/>
    </x:xf>
    <x:xf numFmtId="0" fontId="11" fillId="3" borderId="0" xfId="0" applyNumberFormat="1" applyFont="1" applyFill="1" applyBorder="1"/>
    <x:xf numFmtId="0" fontId="11" fillId="3" borderId="1" xfId="0" applyNumberFormat="1" applyFont="1" applyFill="1" applyBorder="1"/>
    <x:xf numFmtId="0" fontId="11" fillId="3" borderId="1" xfId="0" applyNumberFormat="1" applyFont="1" applyFill="1" applyBorder="1" applyAlignment="1">
      <x:alignment horizontal="center"/>
    </x:xf>
    <x:xf numFmtId="0" fontId="11" fillId="3" borderId="1" xfId="0" applyNumberFormat="1" applyFont="1" applyFill="1" applyBorder="1" applyAlignment="1">
      <x:alignment horizontal="center" vertical="center"/>
    </x:xf>
    <x:xf numFmtId="0" fontId="3" fillId="9" borderId="2" xfId="0" applyNumberFormat="1" applyFont="1" applyFill="1" applyBorder="1" applyAlignment="1">
      <x:alignment vertical="top" wrapText="1"/>
    </x:xf>
    <x:xf numFmtId="0" fontId="3" fillId="9" borderId="3" xfId="0" applyNumberFormat="1" applyFont="1" applyFill="1" applyBorder="1" applyAlignment="1">
      <x:alignment vertical="top" wrapText="1"/>
    </x:xf>
    <x:xf numFmtId="0" fontId="3" fillId="9" borderId="4" xfId="0" applyNumberFormat="1" applyFont="1" applyFill="1" applyBorder="1" applyAlignment="1">
      <x:alignment vertical="top" wrapText="1"/>
    </x:xf>
    <x:xf numFmtId="0" fontId="15" fillId="9" borderId="2" xfId="0" applyNumberFormat="1" applyFont="1" applyFill="1" applyBorder="1" applyAlignment="1">
      <x:alignment vertical="top" wrapText="1"/>
    </x:xf>
    <x:xf numFmtId="0" fontId="15" fillId="9" borderId="3" xfId="0" applyNumberFormat="1" applyFont="1" applyFill="1" applyBorder="1" applyAlignment="1">
      <x:alignment vertical="top" wrapText="1"/>
    </x:xf>
    <x:xf numFmtId="0" fontId="15" fillId="9" borderId="4" xfId="0" applyNumberFormat="1" applyFont="1" applyFill="1" applyBorder="1" applyAlignment="1">
      <x:alignment vertical="top" wrapText="1"/>
    </x:xf>
    <x:xf numFmtId="0" fontId="15" fillId="9" borderId="12" xfId="0" applyNumberFormat="1" applyFont="1" applyFill="1" applyBorder="1" applyAlignment="1">
      <x:alignment vertical="top" wrapText="1"/>
    </x:xf>
    <x:xf numFmtId="0" fontId="15" fillId="9" borderId="13" xfId="0" applyNumberFormat="1" applyFont="1" applyFill="1" applyBorder="1" applyAlignment="1">
      <x:alignment vertical="top" wrapText="1"/>
    </x:xf>
    <x:xf numFmtId="0" fontId="15" fillId="9" borderId="14" xfId="0" applyNumberFormat="1" applyFont="1" applyFill="1" applyBorder="1" applyAlignment="1">
      <x:alignment vertical="top" wrapText="1"/>
    </x:xf>
    <x:xf numFmtId="0" fontId="15" fillId="9" borderId="12" xfId="0" applyNumberFormat="1" applyFont="1" applyFill="1" applyBorder="1" applyAlignment="1">
      <x:alignment vertical="center" wrapText="1"/>
    </x:xf>
    <x:xf numFmtId="0" fontId="15" fillId="9" borderId="13" xfId="0" applyNumberFormat="1" applyFont="1" applyFill="1" applyBorder="1" applyAlignment="1">
      <x:alignment vertical="center" wrapText="1"/>
    </x:xf>
    <x:xf numFmtId="0" fontId="15" fillId="9" borderId="14" xfId="0" applyNumberFormat="1" applyFont="1" applyFill="1" applyBorder="1" applyAlignment="1">
      <x:alignment vertical="center" wrapText="1"/>
    </x:xf>
    <x:xf numFmtId="0" fontId="3" fillId="10" borderId="5" xfId="0" applyNumberFormat="1" applyFont="1" applyFill="1" applyBorder="1" applyAlignment="1">
      <x:alignment vertical="top" wrapText="1"/>
    </x:xf>
    <x:xf numFmtId="0" fontId="3" fillId="10" borderId="6" xfId="0" applyNumberFormat="1" applyFont="1" applyFill="1" applyBorder="1" applyAlignment="1">
      <x:alignment vertical="top" wrapText="1"/>
    </x:xf>
    <x:xf numFmtId="0" fontId="3" fillId="10" borderId="7" xfId="0" applyNumberFormat="1" applyFont="1" applyFill="1" applyBorder="1" applyAlignment="1">
      <x:alignment vertical="top" wrapText="1"/>
    </x:xf>
    <x:xf numFmtId="0" fontId="16" fillId="10" borderId="5" xfId="0" applyNumberFormat="1" applyFont="1" applyFill="1" applyBorder="1" applyAlignment="1">
      <x:alignment vertical="top" wrapText="1"/>
    </x:xf>
    <x:xf numFmtId="0" fontId="16" fillId="10" borderId="6" xfId="0" applyNumberFormat="1" applyFont="1" applyFill="1" applyBorder="1" applyAlignment="1">
      <x:alignment vertical="top" wrapText="1"/>
    </x:xf>
    <x:xf numFmtId="0" fontId="16" fillId="10" borderId="7" xfId="0" applyNumberFormat="1" applyFont="1" applyFill="1" applyBorder="1" applyAlignment="1">
      <x:alignment vertical="top" wrapText="1"/>
    </x:xf>
    <x:xf numFmtId="0" fontId="16" fillId="10" borderId="5" xfId="0" applyNumberFormat="1" applyFont="1" applyFill="1" applyBorder="1" applyAlignment="1">
      <x:alignment vertical="center" wrapText="1"/>
    </x:xf>
    <x:xf numFmtId="0" fontId="16" fillId="10" borderId="6" xfId="0" applyNumberFormat="1" applyFont="1" applyFill="1" applyBorder="1" applyAlignment="1">
      <x:alignment vertical="center" wrapText="1"/>
    </x:xf>
    <x:xf numFmtId="0" fontId="3" fillId="11" borderId="5" xfId="0" applyNumberFormat="1" applyFont="1" applyFill="1" applyBorder="1" applyAlignment="1">
      <x:alignment vertical="top" wrapText="1"/>
    </x:xf>
    <x:xf numFmtId="0" fontId="3" fillId="11" borderId="6" xfId="0" applyNumberFormat="1" applyFont="1" applyFill="1" applyBorder="1" applyAlignment="1">
      <x:alignment vertical="top" wrapText="1"/>
    </x:xf>
    <x:xf numFmtId="0" fontId="3" fillId="11" borderId="7" xfId="0" applyNumberFormat="1" applyFont="1" applyFill="1" applyBorder="1" applyAlignment="1">
      <x:alignment vertical="top" wrapText="1"/>
    </x:xf>
    <x:xf numFmtId="0" fontId="3" fillId="11" borderId="5" xfId="0" applyNumberFormat="1" applyFont="1" applyFill="1" applyBorder="1" applyAlignment="1">
      <x:alignment vertical="center" wrapText="1"/>
    </x:xf>
    <x:xf numFmtId="0" fontId="3" fillId="11" borderId="6" xfId="0" applyNumberFormat="1" applyFont="1" applyFill="1" applyBorder="1" applyAlignment="1">
      <x:alignment vertical="center" wrapText="1"/>
    </x:xf>
    <x:xf numFmtId="0" fontId="3" fillId="11" borderId="8" xfId="0" applyNumberFormat="1" applyFont="1" applyFill="1" applyBorder="1" applyAlignment="1">
      <x:alignment vertical="top" wrapText="1"/>
    </x:xf>
    <x:xf numFmtId="0" fontId="3" fillId="11" borderId="9" xfId="0" applyNumberFormat="1" applyFont="1" applyFill="1" applyBorder="1" applyAlignment="1">
      <x:alignment vertical="top" wrapText="1"/>
    </x:xf>
    <x:xf numFmtId="0" fontId="3" fillId="11" borderId="10" xfId="0" applyNumberFormat="1" applyFont="1" applyFill="1" applyBorder="1" applyAlignment="1">
      <x:alignment vertical="top" wrapText="1"/>
    </x:xf>
    <x:xf numFmtId="0" fontId="3" fillId="11" borderId="8" xfId="0" applyNumberFormat="1" applyFont="1" applyFill="1" applyBorder="1" applyAlignment="1">
      <x:alignment vertical="center" wrapText="1"/>
    </x:xf>
    <x:xf numFmtId="0" fontId="3" fillId="11" borderId="9" xfId="0" applyNumberFormat="1" applyFont="1" applyFill="1" applyBorder="1" applyAlignment="1">
      <x:alignment vertical="center" wrapText="1"/>
    </x:xf>
    <x:xf numFmtId="0" fontId="15" fillId="9" borderId="13" xfId="0" applyNumberFormat="1" applyFont="1" applyFill="1" applyBorder="1" applyAlignment="1">
      <x:alignment horizontal="left" vertical="center" wrapText="1"/>
    </x:xf>
    <x:xf numFmtId="0" fontId="16" fillId="10" borderId="6" xfId="0" applyNumberFormat="1" applyFont="1" applyFill="1" applyBorder="1" applyAlignment="1">
      <x:alignment horizontal="left" vertical="center" wrapText="1"/>
    </x:xf>
    <x:xf numFmtId="0" fontId="3" fillId="11" borderId="6" xfId="0" applyNumberFormat="1" applyFont="1" applyFill="1" applyBorder="1" applyAlignment="1">
      <x:alignment horizontal="left" vertical="center" wrapText="1"/>
    </x:xf>
    <x:xf numFmtId="0" fontId="3" fillId="0" borderId="6" xfId="0" applyNumberFormat="1" applyFont="1" applyFill="1" applyBorder="1" applyAlignment="1">
      <x:alignment horizontal="left" vertical="top" wrapText="1"/>
    </x:xf>
    <x:xf numFmtId="0" fontId="3" fillId="11" borderId="9" xfId="0" applyNumberFormat="1" applyFont="1" applyFill="1" applyBorder="1" applyAlignment="1">
      <x:alignment horizontal="left" vertical="center" wrapText="1"/>
    </x:xf>
    <x:xf numFmtId="201" fontId="15" fillId="9" borderId="13" xfId="0" applyNumberFormat="1" applyFont="1" applyFill="1" applyBorder="1" applyAlignment="1">
      <x:alignment vertical="center" wrapText="1"/>
    </x:xf>
    <x:xf numFmtId="201" fontId="16" fillId="10" borderId="6" xfId="0" applyNumberFormat="1" applyFont="1" applyFill="1" applyBorder="1" applyAlignment="1">
      <x:alignment vertical="center" wrapText="1"/>
    </x:xf>
    <x:xf numFmtId="201" fontId="3" fillId="11" borderId="6" xfId="0" applyNumberFormat="1" applyFont="1" applyFill="1" applyBorder="1" applyAlignment="1">
      <x:alignment vertical="center" wrapText="1"/>
    </x:xf>
    <x:xf numFmtId="201" fontId="3" fillId="0" borderId="6" xfId="0" applyNumberFormat="1" applyFont="1" applyFill="1" applyBorder="1" applyAlignment="1">
      <x:alignment vertical="top" wrapText="1"/>
    </x:xf>
    <x:xf numFmtId="201" fontId="3" fillId="11" borderId="9" xfId="0" applyNumberFormat="1" applyFont="1" applyFill="1" applyBorder="1" applyAlignment="1">
      <x:alignment vertical="center" wrapText="1"/>
    </x:xf>
    <x:xf numFmtId="203" fontId="15" fillId="9" borderId="13" xfId="0" applyNumberFormat="1" applyFont="1" applyFill="1" applyBorder="1" applyAlignment="1">
      <x:alignment vertical="center" wrapText="1"/>
    </x:xf>
    <x:xf numFmtId="203" fontId="16" fillId="10" borderId="6" xfId="0" applyNumberFormat="1" applyFont="1" applyFill="1" applyBorder="1" applyAlignment="1">
      <x:alignment vertical="center" wrapText="1"/>
    </x:xf>
    <x:xf numFmtId="203" fontId="3" fillId="11" borderId="6" xfId="0" applyNumberFormat="1" applyFont="1" applyFill="1" applyBorder="1" applyAlignment="1">
      <x:alignment vertical="center" wrapText="1"/>
    </x:xf>
    <x:xf numFmtId="203" fontId="3" fillId="0" borderId="6" xfId="0" applyNumberFormat="1" applyFont="1" applyFill="1" applyBorder="1" applyAlignment="1">
      <x:alignment vertical="top" wrapText="1"/>
    </x:xf>
    <x:xf numFmtId="203" fontId="3" fillId="11" borderId="9" xfId="0" applyNumberFormat="1" applyFont="1" applyFill="1" applyBorder="1" applyAlignment="1">
      <x:alignment vertical="center" wrapText="1"/>
    </x:xf>
    <x:xf numFmtId="202" fontId="15" fillId="9" borderId="13" xfId="0" applyNumberFormat="1" applyFont="1" applyFill="1" applyBorder="1" applyAlignment="1">
      <x:alignment vertical="center" wrapText="1"/>
    </x:xf>
    <x:xf numFmtId="202" fontId="16" fillId="10" borderId="6" xfId="0" applyNumberFormat="1" applyFont="1" applyFill="1" applyBorder="1" applyAlignment="1">
      <x:alignment vertical="center" wrapText="1"/>
    </x:xf>
    <x:xf numFmtId="202" fontId="3" fillId="11" borderId="6" xfId="0" applyNumberFormat="1" applyFont="1" applyFill="1" applyBorder="1" applyAlignment="1">
      <x:alignment vertical="center" wrapText="1"/>
    </x:xf>
    <x:xf numFmtId="202" fontId="3" fillId="0" borderId="6" xfId="0" applyNumberFormat="1" applyFont="1" applyFill="1" applyBorder="1" applyAlignment="1">
      <x:alignment vertical="top" wrapText="1"/>
    </x:xf>
    <x:xf numFmtId="202" fontId="3" fillId="11" borderId="9" xfId="0" applyNumberFormat="1" applyFont="1" applyFill="1" applyBorder="1" applyAlignment="1">
      <x:alignment vertical="center" wrapText="1"/>
    </x:xf>
    <x:xf numFmtId="201" fontId="17" fillId="9" borderId="13" xfId="0" applyNumberFormat="1" applyFont="1" applyFill="1" applyBorder="1" applyAlignment="1">
      <x:alignment vertical="center" wrapText="1"/>
    </x:xf>
    <x:xf numFmtId="203" fontId="17" fillId="9" borderId="13" xfId="0" applyNumberFormat="1" applyFont="1" applyFill="1" applyBorder="1" applyAlignment="1">
      <x:alignment vertical="center" wrapText="1"/>
    </x:xf>
    <x:xf numFmtId="201" fontId="18" fillId="10" borderId="6" xfId="0" applyNumberFormat="1" applyFont="1" applyFill="1" applyBorder="1" applyAlignment="1">
      <x:alignment vertical="center" wrapText="1"/>
    </x:xf>
    <x:xf numFmtId="203" fontId="18" fillId="10" borderId="6" xfId="0" applyNumberFormat="1" applyFont="1" applyFill="1" applyBorder="1" applyAlignment="1">
      <x:alignment vertical="center" wrapText="1"/>
    </x:xf>
    <x:xf numFmtId="201" fontId="5" fillId="11" borderId="6" xfId="0" applyNumberFormat="1" applyFont="1" applyFill="1" applyBorder="1" applyAlignment="1">
      <x:alignment vertical="center" wrapText="1"/>
    </x:xf>
    <x:xf numFmtId="203" fontId="5" fillId="11" borderId="6" xfId="0" applyNumberFormat="1" applyFont="1" applyFill="1" applyBorder="1" applyAlignment="1">
      <x:alignment vertical="center" wrapText="1"/>
    </x:xf>
    <x:xf numFmtId="201" fontId="5" fillId="0" borderId="6" xfId="0" applyNumberFormat="1" applyFont="1" applyFill="1" applyBorder="1" applyAlignment="1">
      <x:alignment vertical="top" wrapText="1"/>
    </x:xf>
    <x:xf numFmtId="203" fontId="5" fillId="0" borderId="6" xfId="0" applyNumberFormat="1" applyFont="1" applyFill="1" applyBorder="1" applyAlignment="1">
      <x:alignment vertical="top" wrapText="1"/>
    </x:xf>
    <x:xf numFmtId="201" fontId="5" fillId="11" borderId="9" xfId="0" applyNumberFormat="1" applyFont="1" applyFill="1" applyBorder="1" applyAlignment="1">
      <x:alignment vertical="center" wrapText="1"/>
    </x:xf>
    <x:xf numFmtId="203" fontId="5" fillId="11" borderId="9" xfId="0" applyNumberFormat="1" applyFont="1" applyFill="1" applyBorder="1" applyAlignment="1">
      <x:alignment vertical="center" wrapText="1"/>
    </x:xf>
    <x:xf numFmtId="203" fontId="19" fillId="9" borderId="13" xfId="0" applyNumberFormat="1" applyFont="1" applyFill="1" applyBorder="1" applyAlignment="1">
      <x:alignment vertical="center" wrapText="1"/>
    </x:xf>
    <x:xf numFmtId="203" fontId="20" fillId="10" borderId="6" xfId="0" applyNumberFormat="1" applyFont="1" applyFill="1" applyBorder="1" applyAlignment="1">
      <x:alignment vertical="center" wrapText="1"/>
    </x:xf>
    <x:xf numFmtId="203" fontId="4" fillId="11" borderId="6" xfId="0" applyNumberFormat="1" applyFont="1" applyFill="1" applyBorder="1" applyAlignment="1">
      <x:alignment vertical="center" wrapText="1"/>
    </x:xf>
    <x:xf numFmtId="203" fontId="4" fillId="0" borderId="6" xfId="0" applyNumberFormat="1" applyFont="1" applyFill="1" applyBorder="1" applyAlignment="1">
      <x:alignment vertical="top" wrapText="1"/>
    </x:xf>
    <x:xf numFmtId="203" fontId="4" fillId="11" borderId="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55001a96814a40" /><Relationship Type="http://schemas.openxmlformats.org/officeDocument/2006/relationships/theme" Target="/xl/theme/theme1.xml" Id="R5ddfdc55a2b64ca4" /><Relationship Type="http://schemas.openxmlformats.org/officeDocument/2006/relationships/sharedStrings" Target="/xl/sharedStrings.xml" Id="R2389f49b99474dd3" /><Relationship Type="http://schemas.openxmlformats.org/officeDocument/2006/relationships/worksheet" Target="/xl/worksheets/sheet1.xml" Id="Raff664e89dd84520" /><Relationship Type="http://schemas.openxmlformats.org/officeDocument/2006/relationships/worksheet" Target="/xl/worksheets/sheet2.xml" Id="R7a48321570ca4f3f" /></Relationships>
</file>

<file path=xl/tables/table1.xml><?xml version="1.0" encoding="utf-8"?>
<x:table xmlns:x="http://schemas.openxmlformats.org/spreadsheetml/2006/main" id="1" name="WbsMasterTable" displayName="WbsMasterTable" ref="A6:AJ24" headerRowCount="1" totalsRowCount="0" totalsRowShown="0">
  <x:tableColumns count="36">
    <x:tableColumn id="1" name="Level"/>
    <x:tableColumn id="2" name="No"/>
    <x:tableColumn id="3" name="L1"/>
    <x:tableColumn id="4" name="L2"/>
    <x:tableColumn id="5" name="작업명"/>
    <x:tableColumn id="6" name="주 담당"/>
    <x:tableColumn id="7" name="백업"/>
    <x:tableColumn id="8" name="계획 시작"/>
    <x:tableColumn id="9" name="계획 종료"/>
    <x:tableColumn id="10" name="실행 시작"/>
    <x:tableColumn id="11" name="실행 종료"/>
    <x:tableColumn id="12" name="계획 일수"/>
    <x:tableColumn id="13" name="실행 일수"/>
    <x:tableColumn id="14" name="배정시간"/>
    <x:tableColumn id="15" name="용량 판정"/>
    <x:tableColumn id="16" name="완료 여부"/>
    <x:tableColumn id="17" name="목표 진척률"/>
    <x:tableColumn id="18" name="현재 진척률"/>
    <x:tableColumn id="19" name="우선순위"/>
    <x:tableColumn id="20" name="Risk ID"/>
    <x:tableColumn id="21" name="Claim ID"/>
    <x:tableColumn id="22" name="출처·라인"/>
    <x:tableColumn id="23" name="수용 기준"/>
    <x:tableColumn id="24" name="검증 ID"/>
    <x:tableColumn id="25" name="검증 명령/절차"/>
    <x:tableColumn id="26" name="환경"/>
    <x:tableColumn id="27" name="통과 임계값"/>
    <x:tableColumn id="28" name="증적 URI·해시"/>
    <x:tableColumn id="29" name="승인자"/>
    <x:tableColumn id="30" name="실패/rollback 조건"/>
    <x:tableColumn id="31" name="성숙도 축"/>
    <x:tableColumn id="32" name="현재 점수"/>
    <x:tableColumn id="33" name="목표 점수"/>
    <x:tableColumn id="34" name="반대 근거·Open Question"/>
    <x:tableColumn id="35" name="결정기한"/>
    <x:tableColumn id="36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83c9d606004a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7" hidden="0" customWidth="1"/>
    <x:col min="3" max="3" width="18" hidden="0" customWidth="1"/>
    <x:col min="4" max="4" width="15" hidden="0" customWidth="1"/>
    <x:col min="5" max="5" width="4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0" hidden="0" customWidth="1"/>
    <x:col min="13" max="13" width="10" hidden="0" customWidth="1"/>
    <x:col min="14" max="14" width="10" hidden="0" customWidth="1"/>
    <x:col min="15" max="15" width="12" hidden="0" customWidth="1"/>
    <x:col min="16" max="16" width="13" hidden="0" customWidth="1"/>
    <x:col min="17" max="17" width="11" hidden="0" customWidth="1"/>
    <x:col min="18" max="18" width="11" hidden="0" customWidth="1"/>
    <x:col min="19" max="19" width="0.15000000596046448" hidden="0" customWidth="1"/>
    <x:col min="20" max="20" width="0.15000000596046448" hidden="0" customWidth="1"/>
    <x:col min="21" max="21" width="0.15000000596046448" hidden="0" customWidth="1"/>
    <x:col min="22" max="22" width="0.15000000596046448" hidden="0" customWidth="1"/>
    <x:col min="23" max="23" width="0.15000000596046448" hidden="0" customWidth="1"/>
    <x:col min="24" max="24" width="0.15000000596046448" hidden="0" customWidth="1"/>
    <x:col min="25" max="25" width="0.15000000596046448" hidden="0" customWidth="1"/>
    <x:col min="26" max="26" width="0.15000000596046448" hidden="0" customWidth="1"/>
    <x:col min="27" max="27" width="0.15000000596046448" hidden="0" customWidth="1"/>
    <x:col min="28" max="28" width="0.15000000596046448" hidden="0" customWidth="1"/>
    <x:col min="29" max="29" width="0.15000000596046448" hidden="0" customWidth="1"/>
    <x:col min="30" max="30" width="0.15000000596046448" hidden="0" customWidth="1"/>
    <x:col min="31" max="31" width="0.15000000596046448" hidden="0" customWidth="1"/>
    <x:col min="32" max="32" width="0.15000000596046448" hidden="0" customWidth="1"/>
    <x:col min="33" max="33" width="0.15000000596046448" hidden="0" customWidth="1"/>
    <x:col min="34" max="34" width="0.15000000596046448" hidden="0" customWidth="1"/>
    <x:col min="35" max="35" width="0.15000000596046448" hidden="0" customWidth="1"/>
    <x:col min="36" max="36" width="0.15000000596046448" hidden="0" customWidth="1"/>
  </x:cols>
  <x:sheetData>
    <x:row r="1" ht="14" customHeight="1">
      <x:c r="A1" s="49"/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  <x:c r="AA1" s="49"/>
      <x:c r="AB1" s="49"/>
      <x:c r="AC1" s="49"/>
      <x:c r="AD1" s="49"/>
      <x:c r="AE1" s="49"/>
      <x:c r="AF1" s="49"/>
      <x:c r="AG1" s="49"/>
      <x:c r="AH1" s="49"/>
      <x:c r="AI1" s="49"/>
      <x:c r="AJ1" s="49"/>
    </x:row>
    <x:row r="2" ht="32" customHeight="1">
      <x:c r="A2" s="51" t="str">
        <x:v>○ QuantAgent 프로덕션 준비 — WBS MASTER</x:v>
      </x:c>
      <x:c r="I2" s="55" t="str">
        <x:v>Concept: Production Ready</x:v>
      </x:c>
      <x:c r="N2" s="58" t="str">
        <x:v>기준일</x:v>
      </x:c>
      <x:c r="O2" s="61" t="n">
        <x:v>46246</x:v>
      </x:c>
      <x:c r="R2" s="58" t="str">
        <x:v>개발창</x:v>
      </x:c>
      <x:c r="S2" s="63" t="str">
        <x:v>2026-08-12 ~ 2026-08-30</x:v>
      </x:c>
      <x:c r="W2" s="58" t="str">
        <x:v>배포일</x:v>
      </x:c>
      <x:c r="X2" s="65" t="n">
        <x:v>46265</x:v>
      </x:c>
      <x:c r="AA2" s="58" t="str">
        <x:v>Email</x:v>
      </x:c>
      <x:c r="AB2" s="63" t="str">
        <x:f>'설정_목록'!$M$4</x:f>
        <x:v>DEFER</x:v>
      </x:c>
    </x:row>
    <x:row r="4">
      <x:c r="A4" t="str">
        <x:v>전체 진척률</x:v>
      </x:c>
      <x:c r="D4" s="69" t="n">
        <x:f>AVERAGE($R$8:$R$24)</x:f>
        <x:v>0</x:v>
      </x:c>
      <x:c r="G4" t="str">
        <x:v>P0 차단 수</x:v>
      </x:c>
      <x:c r="J4" s="72" t="n">
        <x:f>COUNTIFS($A$8:$A$24,"Level2",$S$8:$S$24,"P0",$P$8:$P$24,"차단")+COUNTIFS($A$8:$A$24,"Level2",$S$8:$S$24,"P0",$P$8:$P$24,"증적 미완료")</x:f>
        <x:v>13</x:v>
      </x:c>
      <x:c r="M4" t="str">
        <x:v>용량 과부하 수</x:v>
      </x:c>
      <x:c r="P4" s="74" t="n">
        <x:f>IF(SUMIF($F$8:$F$24,"육은서",$N$8:$N$24)&gt;SUMIF('설정_목록'!$E$4:$E$8,"육은서",'설정_목록'!$I$4:$I$8),1,0)+IF(SUMIF($F$8:$F$24,"윤서준",$N$8:$N$24)&gt;SUMIF('설정_목록'!$E$4:$E$8,"윤서준",'설정_목록'!$I$4:$I$8),1,0)+IF(SUMIF($F$8:$F$24,"윤민호",$N$8:$N$24)&gt;SUMIF('설정_목록'!$E$4:$E$8,"윤민호",'설정_목록'!$I$4:$I$8),1,0)+IF(SUMIF($F$8:$F$24,"조은채",$N$8:$N$24)&gt;SUMIF('설정_목록'!$E$4:$E$8,"조은채",'설정_목록'!$I$4:$I$8),1,0)+IF(SUMIF($F$8:$F$24,"고준영",$N$8:$N$24)&gt;SUMIF('설정_목록'!$E$4:$E$8,"고준영",'설정_목록'!$I$4:$I$8),1,0)</x:f>
        <x:v>1</x:v>
      </x:c>
      <x:c r="S4" t="str">
        <x:v>08-31 개발 위반</x:v>
      </x:c>
      <x:c r="V4" s="72" t="n">
        <x:f>COUNTIFS($A$8:$A$24,"Level2",$I$8:$I$24,$X$2,$AJ$8:$AJ$24,"&lt;&gt;배포 전용; 개발 금지")</x:f>
        <x:v>0</x:v>
      </x:c>
    </x:row>
    <x:row r="5" ht="26" customHeight="1">
      <x:c r="A5" s="78" t="str">
        <x:v>WBS 계층</x:v>
      </x:c>
      <x:c r="B5" s="78" t="str"/>
      <x:c r="C5" s="78" t="str"/>
      <x:c r="D5" s="78" t="str"/>
      <x:c r="E5" s="78" t="str"/>
      <x:c r="F5" s="78" t="str">
        <x:v>담당</x:v>
      </x:c>
      <x:c r="G5" s="78" t="str"/>
      <x:c r="H5" s="78" t="str">
        <x:v>일정(계획)</x:v>
      </x:c>
      <x:c r="I5" s="78" t="str"/>
      <x:c r="J5" s="78" t="str">
        <x:v>일정(실행)</x:v>
      </x:c>
      <x:c r="K5" s="78" t="str"/>
      <x:c r="L5" s="78" t="str">
        <x:v>계산</x:v>
      </x:c>
      <x:c r="M5" s="78" t="str"/>
      <x:c r="N5" s="78" t="str">
        <x:v>용량</x:v>
      </x:c>
      <x:c r="O5" s="78" t="str"/>
      <x:c r="P5" s="78" t="str">
        <x:v>완료·진척</x:v>
      </x:c>
      <x:c r="Q5" s="78" t="str"/>
      <x:c r="R5" s="78" t="str"/>
      <x:c r="S5" s="78" t="str">
        <x:v>관리/근거 (기본 접힘)</x:v>
      </x:c>
      <x:c r="T5" s="78" t="str"/>
      <x:c r="U5" s="78" t="str"/>
      <x:c r="V5" s="78" t="str"/>
      <x:c r="W5" s="78" t="str"/>
      <x:c r="X5" s="78" t="str"/>
      <x:c r="Y5" s="78" t="str"/>
      <x:c r="Z5" s="78" t="str"/>
      <x:c r="AA5" s="78" t="str"/>
      <x:c r="AB5" s="78" t="str"/>
      <x:c r="AC5" s="78" t="str"/>
      <x:c r="AD5" s="78" t="str"/>
      <x:c r="AE5" s="78" t="str"/>
      <x:c r="AF5" s="78" t="str"/>
      <x:c r="AG5" s="78" t="str"/>
      <x:c r="AH5" s="78" t="str"/>
      <x:c r="AI5" s="78" t="str"/>
      <x:c r="AJ5" s="78" t="str"/>
    </x:row>
    <x:row r="6" ht="34" customHeight="1">
      <x:c r="A6" s="8" t="str">
        <x:v>Level</x:v>
      </x:c>
      <x:c r="B6" s="8" t="str">
        <x:v>No</x:v>
      </x:c>
      <x:c r="C6" s="8" t="str">
        <x:v>L1</x:v>
      </x:c>
      <x:c r="D6" s="8" t="str">
        <x:v>L2</x:v>
      </x:c>
      <x:c r="E6" s="8" t="str">
        <x:v>작업명</x:v>
      </x:c>
      <x:c r="F6" s="8" t="str">
        <x:v>주 담당</x:v>
      </x:c>
      <x:c r="G6" s="8" t="str">
        <x:v>백업</x:v>
      </x:c>
      <x:c r="H6" s="8" t="str">
        <x:v>계획 시작</x:v>
      </x:c>
      <x:c r="I6" s="8" t="str">
        <x:v>계획 종료</x:v>
      </x:c>
      <x:c r="J6" s="8" t="str">
        <x:v>실행 시작</x:v>
      </x:c>
      <x:c r="K6" s="8" t="str">
        <x:v>실행 종료</x:v>
      </x:c>
      <x:c r="L6" s="8" t="str">
        <x:v>계획 일수</x:v>
      </x:c>
      <x:c r="M6" s="8" t="str">
        <x:v>실행 일수</x:v>
      </x:c>
      <x:c r="N6" s="8" t="str">
        <x:v>배정시간</x:v>
      </x:c>
      <x:c r="O6" s="8" t="str">
        <x:v>용량 판정</x:v>
      </x:c>
      <x:c r="P6" s="8" t="str">
        <x:v>완료 여부</x:v>
      </x:c>
      <x:c r="Q6" s="8" t="str">
        <x:v>목표 진척률</x:v>
      </x:c>
      <x:c r="R6" s="8" t="str">
        <x:v>현재 진척률</x:v>
      </x:c>
      <x:c r="S6" s="8" t="str">
        <x:v>우선순위</x:v>
      </x:c>
      <x:c r="T6" s="8" t="str">
        <x:v>Risk ID</x:v>
      </x:c>
      <x:c r="U6" s="8" t="str">
        <x:v>Claim ID</x:v>
      </x:c>
      <x:c r="V6" s="8" t="str">
        <x:v>출처·라인</x:v>
      </x:c>
      <x:c r="W6" s="8" t="str">
        <x:v>수용 기준</x:v>
      </x:c>
      <x:c r="X6" s="8" t="str">
        <x:v>검증 ID</x:v>
      </x:c>
      <x:c r="Y6" s="8" t="str">
        <x:v>검증 명령/절차</x:v>
      </x:c>
      <x:c r="Z6" s="8" t="str">
        <x:v>환경</x:v>
      </x:c>
      <x:c r="AA6" s="8" t="str">
        <x:v>통과 임계값</x:v>
      </x:c>
      <x:c r="AB6" s="8" t="str">
        <x:v>증적 URI·해시</x:v>
      </x:c>
      <x:c r="AC6" s="8" t="str">
        <x:v>승인자</x:v>
      </x:c>
      <x:c r="AD6" s="8" t="str">
        <x:v>실패/rollback 조건</x:v>
      </x:c>
      <x:c r="AE6" s="8" t="str">
        <x:v>성숙도 축</x:v>
      </x:c>
      <x:c r="AF6" s="8" t="str">
        <x:v>현재 점수</x:v>
      </x:c>
      <x:c r="AG6" s="8" t="str">
        <x:v>목표 점수</x:v>
      </x:c>
      <x:c r="AH6" s="8" t="str">
        <x:v>반대 근거·Open Question</x:v>
      </x:c>
      <x:c r="AI6" s="8" t="str">
        <x:v>결정기한</x:v>
      </x:c>
      <x:c r="AJ6" s="8" t="str">
        <x:v>비고</x:v>
      </x:c>
    </x:row>
    <x:row r="8" ht="30" customHeight="1">
      <x:c r="A8" s="88" t="str">
        <x:v>Level0</x:v>
      </x:c>
      <x:c r="B8" s="89" t="str"/>
      <x:c r="C8" s="109" t="str">
        <x:v>프로덕션 준비</x:v>
      </x:c>
      <x:c r="D8" s="109" t="str"/>
      <x:c r="E8" s="109" t="str">
        <x:v>QuantAgent 프로덕션 준비 프로그램</x:v>
      </x:c>
      <x:c r="F8" s="89" t="str">
        <x:v>육은서</x:v>
      </x:c>
      <x:c r="G8" s="89" t="str">
        <x:v>조은채</x:v>
      </x:c>
      <x:c r="H8" s="129" t="n">
        <x:f>$O$2+0</x:f>
        <x:v>46246</x:v>
      </x:c>
      <x:c r="I8" s="129" t="n">
        <x:f>$O$2+18</x:f>
        <x:v>46264</x:v>
      </x:c>
      <x:c r="J8" s="129" t="str"/>
      <x:c r="K8" s="129" t="str"/>
      <x:c r="L8" s="130" t="n">
        <x:f>NETWORKDAYS(H8,I8)</x:f>
        <x:v>13</x:v>
      </x:c>
      <x:c r="M8" s="130" t="str">
        <x:f>IF(OR(J8="",K8=""),"",NETWORKDAYS(J8,K8))</x:f>
      </x:c>
      <x:c r="N8" s="139" t="n">
        <x:v>0</x:v>
      </x:c>
      <x:c r="O8" s="89" t="str">
        <x:f>IF($A8&lt;&gt;"Level2","-",IF(F8="","",IF(SUMIFS($N$8:$N$24,$F$8:$F$24,F8,$A$8:$A$24,"Level2")&gt;SUMIF('설정_목록'!$E$4:$E$8,F8,'설정_목록'!$I$4:$I$8),"과부하","정상")))</x:f>
        <x:v>-</x:v>
      </x:c>
      <x:c r="P8" s="89" t="str">
        <x:f>IF(AND($A8="Level2",S8="P0",OR(U8="",W8="",X8="",Y8="",Z8="",AA8="",AB8="",AC8="",AD8="",LEFT(AB8,11)="evidence://")),"증적 미완료",IF(R8=1,"완료",IF(OR(J8="",K8=""),"미입력",IF(TODAY()&gt;I8,"지연","정상"))))</x:f>
        <x:v>미입력</x:v>
      </x:c>
      <x:c r="Q8" s="124" t="n">
        <x:f>IF(TODAY()&lt;H8,0,IF(TODAY()&gt;I8,1,(TODAY()-H8+1)/(I8-H8+1)))</x:f>
        <x:v>0.10526315789473684</x:v>
      </x:c>
      <x:c r="R8" s="124" t="n">
        <x:v>0</x:v>
      </x:c>
      <x:c r="S8" s="89" t="str">
        <x:v>P0</x:v>
      </x:c>
      <x:c r="T8" s="89" t="str">
        <x:v>R-01~06</x:v>
      </x:c>
      <x:c r="U8" s="89" t="str">
        <x:v>CLM-*</x:v>
      </x:c>
      <x:c r="V8" s="89" t="str">
        <x:v>.omx/plans/quantagent-wbs-v2/</x:v>
      </x:c>
      <x:c r="W8" s="89" t="str">
        <x:v>P0 증적 수용·위험 수용·08-31 배포 승인</x:v>
      </x:c>
      <x:c r="X8" s="89" t="str"/>
      <x:c r="Y8" s="89" t="str"/>
      <x:c r="Z8" s="89" t="str"/>
      <x:c r="AA8" s="89" t="str"/>
      <x:c r="AB8" s="89" t="str"/>
      <x:c r="AC8" s="89" t="str">
        <x:v>육은서</x:v>
      </x:c>
      <x:c r="AD8" s="89" t="str">
        <x:v>차단 P0 존재 시 rollback-only</x:v>
      </x:c>
      <x:c r="AE8" s="89" t="str">
        <x:v>릴리스 거버넌스</x:v>
      </x:c>
      <x:c r="AF8" s="89" t="n">
        <x:v>2</x:v>
      </x:c>
      <x:c r="AG8" s="89" t="n">
        <x:v>4</x:v>
      </x:c>
      <x:c r="AH8" s="89" t="str">
        <x:v>OPEN: 배포 사실/권한은 증적으로 확인</x:v>
      </x:c>
      <x:c r="AI8" s="89" t="n">
        <x:v>18</x:v>
      </x:c>
      <x:c r="AJ8" s="90" t="str">
        <x:v>Email=DEFER</x:v>
      </x:c>
    </x:row>
    <x:row r="9" ht="30" customHeight="1">
      <x:c r="A9" s="97" t="str">
        <x:v>Level1</x:v>
      </x:c>
      <x:c r="B9" s="98" t="str">
        <x:v>1</x:v>
      </x:c>
      <x:c r="C9" s="110" t="str">
        <x:v>아키텍처·실행 신뢰성</x:v>
      </x:c>
      <x:c r="D9" s="110" t="str"/>
      <x:c r="E9" s="110" t="str">
        <x:v>실제 배포→canonical ingress→중복 제거→executor/auth→영속성→E2E</x:v>
      </x:c>
      <x:c r="F9" s="98" t="str">
        <x:v>윤서준</x:v>
      </x:c>
      <x:c r="G9" s="98" t="str">
        <x:v>고준영</x:v>
      </x:c>
      <x:c r="H9" s="131" t="n">
        <x:f>$O$2+0</x:f>
        <x:v>46246</x:v>
      </x:c>
      <x:c r="I9" s="131" t="n">
        <x:f>$O$2+10</x:f>
        <x:v>46256</x:v>
      </x:c>
      <x:c r="J9" s="131" t="str"/>
      <x:c r="K9" s="131" t="str"/>
      <x:c r="L9" s="132" t="n">
        <x:f>NETWORKDAYS(H9,I9)</x:f>
        <x:v>8</x:v>
      </x:c>
      <x:c r="M9" s="132" t="str">
        <x:f>IF(OR(J9="",K9=""),"",NETWORKDAYS(J9,K9))</x:f>
      </x:c>
      <x:c r="N9" s="140" t="n">
        <x:v>0</x:v>
      </x:c>
      <x:c r="O9" s="98" t="str">
        <x:f>IF($A9&lt;&gt;"Level2","-",IF(F9="","",IF(SUMIFS($N$8:$N$24,$F$8:$F$24,F9,$A$8:$A$24,"Level2")&gt;SUMIF('설정_목록'!$E$4:$E$8,F9,'설정_목록'!$I$4:$I$8),"과부하","정상")))</x:f>
        <x:v>-</x:v>
      </x:c>
      <x:c r="P9" s="98" t="str">
        <x:f>IF(AND($A9="Level2",S9="P0",OR(U9="",W9="",X9="",Y9="",Z9="",AA9="",AB9="",AC9="",AD9="",LEFT(AB9,11)="evidence://")),"증적 미완료",IF(R9=1,"완료",IF(OR(J9="",K9=""),"미입력",IF(TODAY()&gt;I9,"지연","정상"))))</x:f>
        <x:v>미입력</x:v>
      </x:c>
      <x:c r="Q9" s="125" t="n">
        <x:f>IF(TODAY()&lt;H9,0,IF(TODAY()&gt;I9,1,(TODAY()-H9+1)/(I9-H9+1)))</x:f>
        <x:v>0.18181818181818182</x:v>
      </x:c>
      <x:c r="R9" s="125" t="n">
        <x:v>0</x:v>
      </x:c>
      <x:c r="S9" s="98" t="str">
        <x:v>P0</x:v>
      </x:c>
      <x:c r="T9" s="98" t="str">
        <x:v>R-04</x:v>
      </x:c>
      <x:c r="U9" s="98" t="str">
        <x:v>CLM-A-01,CLM-P-01</x:v>
      </x:c>
      <x:c r="V9" s="98" t="str">
        <x:v>PROJECT_FLOW_AND_DEBT_GUIDE.md:18-55,498-529</x:v>
      </x:c>
      <x:c r="W9" s="98" t="str">
        <x:v>단일 경로·orphan/duplicate=0·trace 100%</x:v>
      </x:c>
      <x:c r="X9" s="98" t="str">
        <x:v>V-ARCH-01</x:v>
      </x:c>
      <x:c r="Y9" s="98" t="str">
        <x:v>pytest 대상 + 인증 E2E + trace 확인</x:v>
      </x:c>
      <x:c r="Z9" s="98" t="str">
        <x:v>staging/production-like</x:v>
      </x:c>
      <x:c r="AA9" s="98" t="str">
        <x:v>canonical path 1개; orphan/duplicate 0; trace 100%</x:v>
      </x:c>
      <x:c r="AB9" s="98" t="str">
        <x:v>evidence://V-ARCH-01</x:v>
      </x:c>
      <x:c r="AC9" s="98" t="str">
        <x:v>조은채</x:v>
      </x:c>
      <x:c r="AD9" s="98" t="str">
        <x:v>실패 시 변경 중단·직전 안정 revision 복귀</x:v>
      </x:c>
      <x:c r="AE9" s="98" t="str">
        <x:v>신뢰성</x:v>
      </x:c>
      <x:c r="AF9" s="98" t="n">
        <x:v>1</x:v>
      </x:c>
      <x:c r="AG9" s="98" t="n">
        <x:v>4</x:v>
      </x:c>
      <x:c r="AH9" s="98" t="str">
        <x:v>Open: current runtime/run-mode ADR 필요</x:v>
      </x:c>
      <x:c r="AI9" s="98" t="n">
        <x:v>10</x:v>
      </x:c>
      <x:c r="AJ9" s="98" t="str">
        <x:v>고준영은 백업만</x:v>
      </x:c>
    </x:row>
    <x:row r="10" ht="30" customHeight="1">
      <x:c r="A10" s="102" t="str">
        <x:v>Level2</x:v>
      </x:c>
      <x:c r="B10" s="103" t="str">
        <x:v>1.1</x:v>
      </x:c>
      <x:c r="C10" s="111" t="str"/>
      <x:c r="D10" s="111" t="str">
        <x:v>배포 사실</x:v>
      </x:c>
      <x:c r="E10" s="111" t="str">
        <x:v>실제 배포 현황·현재 commit·운영 경로 확인</x:v>
      </x:c>
      <x:c r="F10" s="103" t="str">
        <x:v>윤서준</x:v>
      </x:c>
      <x:c r="G10" s="103" t="str">
        <x:v>고준영</x:v>
      </x:c>
      <x:c r="H10" s="133" t="n">
        <x:f>$O$2+0</x:f>
        <x:v>46246</x:v>
      </x:c>
      <x:c r="I10" s="133" t="n">
        <x:f>$O$2+1</x:f>
        <x:v>46247</x:v>
      </x:c>
      <x:c r="J10" s="133" t="str"/>
      <x:c r="K10" s="133" t="str"/>
      <x:c r="L10" s="134" t="n">
        <x:f>NETWORKDAYS(H10,I10)</x:f>
        <x:v>2</x:v>
      </x:c>
      <x:c r="M10" s="134" t="str">
        <x:f>IF(OR(J10="",K10=""),"",NETWORKDAYS(J10,K10))</x:f>
      </x:c>
      <x:c r="N10" s="141" t="n">
        <x:v>12</x:v>
      </x:c>
      <x:c r="O10" s="103" t="str">
        <x:f>IF($A10&lt;&gt;"Level2","-",IF(F10="","",IF(SUMIFS($N$8:$N$24,$F$8:$F$24,F10,$A$8:$A$24,"Level2")&gt;SUMIF('설정_목록'!$E$4:$E$8,F10,'설정_목록'!$I$4:$I$8),"과부하","정상")))</x:f>
        <x:v>과부하</x:v>
      </x:c>
      <x:c r="P10" s="103" t="str">
        <x:f>IF(AND($A10="Level2",S10="P0",OR(U10="",W10="",X10="",Y10="",Z10="",AA10="",AB10="",AC10="",AD10="",LEFT(AB10,11)="evidence://")),"증적 미완료",IF(R10=1,"완료",IF(OR(J10="",K10=""),"미입력",IF(TODAY()&gt;I10,"지연","정상"))))</x:f>
        <x:v>증적 미완료</x:v>
      </x:c>
      <x:c r="Q10" s="126" t="n">
        <x:f>IF(TODAY()&lt;H10,0,IF(TODAY()&gt;I10,1,(TODAY()-H10+1)/(I10-H10+1)))</x:f>
        <x:v>1</x:v>
      </x:c>
      <x:c r="R10" s="126" t="n">
        <x:v>0</x:v>
      </x:c>
      <x:c r="S10" s="103" t="str">
        <x:v>P0</x:v>
      </x:c>
      <x:c r="T10" s="103" t="str">
        <x:v>R-04</x:v>
      </x:c>
      <x:c r="U10" s="103" t="str">
        <x:v>CLM-DEPLOY</x:v>
      </x:c>
      <x:c r="V10" s="103" t="str">
        <x:v>README.md:48-73</x:v>
      </x:c>
      <x:c r="W10" s="103" t="str">
        <x:v>배포 commit·process·환경·인증 경로 고정</x:v>
      </x:c>
      <x:c r="X10" s="103" t="str">
        <x:v>V-ARCH-01</x:v>
      </x:c>
      <x:c r="Y10" s="103" t="str">
        <x:v>배포 구성 캡처 및 인증 smoke</x:v>
      </x:c>
      <x:c r="Z10" s="103" t="str">
        <x:v>production-like</x:v>
      </x:c>
      <x:c r="AA10" s="103" t="str">
        <x:v>canonical ingress/인증 경로 증적</x:v>
      </x:c>
      <x:c r="AB10" s="103" t="str">
        <x:v>evidence://P0-00-deploy-facts</x:v>
      </x:c>
      <x:c r="AC10" s="103" t="str">
        <x:v>윤서준</x:v>
      </x:c>
      <x:c r="AD10" s="103" t="str">
        <x:v>불일치 시 ingress 작업 보류</x:v>
      </x:c>
      <x:c r="AE10" s="103" t="str">
        <x:v>관측성</x:v>
      </x:c>
      <x:c r="AF10" s="103" t="n">
        <x:v>1</x:v>
      </x:c>
      <x:c r="AG10" s="103" t="n">
        <x:v>4</x:v>
      </x:c>
      <x:c r="AH10" s="103" t="str">
        <x:v>Open: 운영 권한/환경</x:v>
      </x:c>
      <x:c r="AI10" s="103" t="str">
        <x:v>1.1 종료</x:v>
      </x:c>
      <x:c r="AJ10" s="103" t="str">
        <x:v>고준영은 증적 수집 보조</x:v>
      </x:c>
    </x:row>
    <x:row r="11" ht="30" customHeight="1">
      <x:c r="A11" s="31" t="str">
        <x:v>Level2</x:v>
      </x:c>
      <x:c r="B11" s="32" t="str">
        <x:v>1.2</x:v>
      </x:c>
      <x:c r="C11" s="112" t="str"/>
      <x:c r="D11" s="112" t="str">
        <x:v>ingress</x:v>
      </x:c>
      <x:c r="E11" s="112" t="str">
        <x:v>canonical ingress ADR 및 공개 API 경계 승인</x:v>
      </x:c>
      <x:c r="F11" s="32" t="str">
        <x:v>윤서준</x:v>
      </x:c>
      <x:c r="G11" s="32" t="str">
        <x:v>고준영</x:v>
      </x:c>
      <x:c r="H11" s="135" t="n">
        <x:f>$O$2+1</x:f>
        <x:v>46247</x:v>
      </x:c>
      <x:c r="I11" s="135" t="n">
        <x:f>$O$2+2</x:f>
        <x:v>46248</x:v>
      </x:c>
      <x:c r="J11" s="135" t="str"/>
      <x:c r="K11" s="135" t="str"/>
      <x:c r="L11" s="136" t="n">
        <x:f>NETWORKDAYS(H11,I11)</x:f>
        <x:v>2</x:v>
      </x:c>
      <x:c r="M11" s="136" t="str">
        <x:f>IF(OR(J11="",K11=""),"",NETWORKDAYS(J11,K11))</x:f>
      </x:c>
      <x:c r="N11" s="142" t="n">
        <x:v>14</x:v>
      </x:c>
      <x:c r="O11" s="32" t="str">
        <x:f>IF($A11&lt;&gt;"Level2","-",IF(F11="","",IF(SUMIFS($N$8:$N$24,$F$8:$F$24,F11,$A$8:$A$24,"Level2")&gt;SUMIF('설정_목록'!$E$4:$E$8,F11,'설정_목록'!$I$4:$I$8),"과부하","정상")))</x:f>
        <x:v>과부하</x:v>
      </x:c>
      <x:c r="P11" s="32" t="str">
        <x:f>IF(AND($A11="Level2",S11="P0",OR(U11="",W11="",X11="",Y11="",Z11="",AA11="",AB11="",AC11="",AD11="",LEFT(AB11,11)="evidence://")),"증적 미완료",IF(R11=1,"완료",IF(OR(J11="",K11=""),"미입력",IF(TODAY()&gt;I11,"지연","정상"))))</x:f>
        <x:v>증적 미완료</x:v>
      </x:c>
      <x:c r="Q11" s="127" t="n">
        <x:f>IF(TODAY()&lt;H11,0,IF(TODAY()&gt;I11,1,(TODAY()-H11+1)/(I11-H11+1)))</x:f>
        <x:v>0.5</x:v>
      </x:c>
      <x:c r="R11" s="127" t="n">
        <x:v>0</x:v>
      </x:c>
      <x:c r="S11" s="32" t="str">
        <x:v>P0</x:v>
      </x:c>
      <x:c r="T11" s="32" t="str">
        <x:v>R-04</x:v>
      </x:c>
      <x:c r="U11" s="32" t="str">
        <x:v>CLM-A-01,CLM-RUNMODE</x:v>
      </x:c>
      <x:c r="V11" s="32" t="str">
        <x:v>PROJECT_FLOW_AND_DEBT_GUIDE.md:498-529</x:v>
      </x:c>
      <x:c r="W11" s="32" t="str">
        <x:v>단일 ingress·run-mode·승인자를 ADR에 명시</x:v>
      </x:c>
      <x:c r="X11" s="32" t="str">
        <x:v>V-ARCH-01</x:v>
      </x:c>
      <x:c r="Y11" s="32" t="str">
        <x:v>ADR 검토 + contract test</x:v>
      </x:c>
      <x:c r="Z11" s="32" t="str">
        <x:v>staging</x:v>
      </x:c>
      <x:c r="AA11" s="32" t="str">
        <x:v>ADR 승인 및 계약 회귀 0</x:v>
      </x:c>
      <x:c r="AB11" s="32" t="str">
        <x:v>evidence://P0-01-ingress-adr</x:v>
      </x:c>
      <x:c r="AC11" s="32" t="str">
        <x:v>윤서준</x:v>
      </x:c>
      <x:c r="AD11" s="32" t="str">
        <x:v>ADR 미승인 시 중복 제거 금지</x:v>
      </x:c>
      <x:c r="AE11" s="32" t="str">
        <x:v>DX</x:v>
      </x:c>
      <x:c r="AF11" s="32" t="n">
        <x:v>2</x:v>
      </x:c>
      <x:c r="AG11" s="32" t="n">
        <x:v>4</x:v>
      </x:c>
      <x:c r="AH11" s="32" t="str">
        <x:v>Open: 동기/비동기 runtime</x:v>
      </x:c>
      <x:c r="AI11" s="32" t="str">
        <x:v>1.2 종료</x:v>
      </x:c>
      <x:c r="AJ11" s="33" t="str"/>
    </x:row>
    <x:row r="12" ht="30" customHeight="1">
      <x:c r="A12" s="102" t="str">
        <x:v>Level2</x:v>
      </x:c>
      <x:c r="B12" s="103" t="str">
        <x:v>1.3</x:v>
      </x:c>
      <x:c r="C12" s="111" t="str"/>
      <x:c r="D12" s="111" t="str">
        <x:v>중복 제거</x:v>
      </x:c>
      <x:c r="E12" s="111" t="str">
        <x:v>중복 FE/백테스트/API 경로 제거 또는 명시적 격리</x:v>
      </x:c>
      <x:c r="F12" s="103" t="str">
        <x:v>윤서준</x:v>
      </x:c>
      <x:c r="G12" s="103" t="str">
        <x:v>육은서</x:v>
      </x:c>
      <x:c r="H12" s="133" t="n">
        <x:f>$O$2+2</x:f>
        <x:v>46248</x:v>
      </x:c>
      <x:c r="I12" s="133" t="n">
        <x:f>$O$2+4</x:f>
        <x:v>46250</x:v>
      </x:c>
      <x:c r="J12" s="133" t="str"/>
      <x:c r="K12" s="133" t="str"/>
      <x:c r="L12" s="134" t="n">
        <x:f>NETWORKDAYS(H12,I12)</x:f>
        <x:v>1</x:v>
      </x:c>
      <x:c r="M12" s="134" t="str">
        <x:f>IF(OR(J12="",K12=""),"",NETWORKDAYS(J12,K12))</x:f>
      </x:c>
      <x:c r="N12" s="141" t="n">
        <x:v>18</x:v>
      </x:c>
      <x:c r="O12" s="103" t="str">
        <x:f>IF($A12&lt;&gt;"Level2","-",IF(F12="","",IF(SUMIFS($N$8:$N$24,$F$8:$F$24,F12,$A$8:$A$24,"Level2")&gt;SUMIF('설정_목록'!$E$4:$E$8,F12,'설정_목록'!$I$4:$I$8),"과부하","정상")))</x:f>
        <x:v>과부하</x:v>
      </x:c>
      <x:c r="P12" s="103" t="str">
        <x:f>IF(AND($A12="Level2",S12="P0",OR(U12="",W12="",X12="",Y12="",Z12="",AA12="",AB12="",AC12="",AD12="",LEFT(AB12,11)="evidence://")),"증적 미완료",IF(R12=1,"완료",IF(OR(J12="",K12=""),"미입력",IF(TODAY()&gt;I12,"지연","정상"))))</x:f>
        <x:v>증적 미완료</x:v>
      </x:c>
      <x:c r="Q12" s="126" t="n">
        <x:f>IF(TODAY()&lt;H12,0,IF(TODAY()&gt;I12,1,(TODAY()-H12+1)/(I12-H12+1)))</x:f>
        <x:v>0</x:v>
      </x:c>
      <x:c r="R12" s="126" t="n">
        <x:v>0</x:v>
      </x:c>
      <x:c r="S12" s="103" t="str">
        <x:v>P0</x:v>
      </x:c>
      <x:c r="T12" s="103" t="str">
        <x:v>R-04</x:v>
      </x:c>
      <x:c r="U12" s="103" t="str">
        <x:v>CLM-A-01</x:v>
      </x:c>
      <x:c r="V12" s="103" t="str">
        <x:v>PROJECT_FLOW_AND_DEBT_GUIDE.md:455-604</x:v>
      </x:c>
      <x:c r="W12" s="103" t="str">
        <x:v>canonical 외 경로의 삭제·격리·소유자를 계약 테스트로 확인</x:v>
      </x:c>
      <x:c r="X12" s="103" t="str">
        <x:v>V-ARCH-01</x:v>
      </x:c>
      <x:c r="Y12" s="103" t="str">
        <x:v>계약 테스트 + 영향 경로 audit</x:v>
      </x:c>
      <x:c r="Z12" s="103" t="str">
        <x:v>staging</x:v>
      </x:c>
      <x:c r="AA12" s="103" t="str">
        <x:v>중복 경로 소유/격리 100%</x:v>
      </x:c>
      <x:c r="AB12" s="103" t="str">
        <x:v>evidence://P0-02-duplication</x:v>
      </x:c>
      <x:c r="AC12" s="103" t="str">
        <x:v>윤서준</x:v>
      </x:c>
      <x:c r="AD12" s="103" t="str">
        <x:v>계약 회귀 시 롤백</x:v>
      </x:c>
      <x:c r="AE12" s="103" t="str">
        <x:v>DX</x:v>
      </x:c>
      <x:c r="AF12" s="103" t="n">
        <x:v>2</x:v>
      </x:c>
      <x:c r="AG12" s="103" t="n">
        <x:v>4</x:v>
      </x:c>
      <x:c r="AH12" s="103" t="str">
        <x:v>반대: 삭제가 안정성 자동 보장 안 함</x:v>
      </x:c>
      <x:c r="AI12" s="103" t="str">
        <x:v>1.3 종료</x:v>
      </x:c>
      <x:c r="AJ12" s="103" t="str"/>
    </x:row>
    <x:row r="13" ht="30" customHeight="1">
      <x:c r="A13" s="31" t="str">
        <x:v>Level2</x:v>
      </x:c>
      <x:c r="B13" s="32" t="str">
        <x:v>1.4</x:v>
      </x:c>
      <x:c r="C13" s="112" t="str"/>
      <x:c r="D13" s="112" t="str">
        <x:v>executor/auth</x:v>
      </x:c>
      <x:c r="E13" s="112" t="str">
        <x:v>executor·인증·취소·실패 투명성 경계 구현</x:v>
      </x:c>
      <x:c r="F13" s="32" t="str">
        <x:v>윤서준</x:v>
      </x:c>
      <x:c r="G13" s="32" t="str">
        <x:v>고준영</x:v>
      </x:c>
      <x:c r="H13" s="135" t="n">
        <x:f>$O$2+4</x:f>
        <x:v>46250</x:v>
      </x:c>
      <x:c r="I13" s="135" t="n">
        <x:f>$O$2+6</x:f>
        <x:v>46252</x:v>
      </x:c>
      <x:c r="J13" s="135" t="str"/>
      <x:c r="K13" s="135" t="str"/>
      <x:c r="L13" s="136" t="n">
        <x:f>NETWORKDAYS(H13,I13)</x:f>
        <x:v>2</x:v>
      </x:c>
      <x:c r="M13" s="136" t="str">
        <x:f>IF(OR(J13="",K13=""),"",NETWORKDAYS(J13,K13))</x:f>
      </x:c>
      <x:c r="N13" s="142" t="n">
        <x:v>22</x:v>
      </x:c>
      <x:c r="O13" s="32" t="str">
        <x:f>IF($A13&lt;&gt;"Level2","-",IF(F13="","",IF(SUMIFS($N$8:$N$24,$F$8:$F$24,F13,$A$8:$A$24,"Level2")&gt;SUMIF('설정_목록'!$E$4:$E$8,F13,'설정_목록'!$I$4:$I$8),"과부하","정상")))</x:f>
        <x:v>과부하</x:v>
      </x:c>
      <x:c r="P13" s="32" t="str">
        <x:f>IF(AND($A13="Level2",S13="P0",OR(U13="",W13="",X13="",Y13="",Z13="",AA13="",AB13="",AC13="",AD13="",LEFT(AB13,11)="evidence://")),"증적 미완료",IF(R13=1,"완료",IF(OR(J13="",K13=""),"미입력",IF(TODAY()&gt;I13,"지연","정상"))))</x:f>
        <x:v>증적 미완료</x:v>
      </x:c>
      <x:c r="Q13" s="127" t="n">
        <x:f>IF(TODAY()&lt;H13,0,IF(TODAY()&gt;I13,1,(TODAY()-H13+1)/(I13-H13+1)))</x:f>
        <x:v>0</x:v>
      </x:c>
      <x:c r="R13" s="127" t="n">
        <x:v>0</x:v>
      </x:c>
      <x:c r="S13" s="32" t="str">
        <x:v>P0</x:v>
      </x:c>
      <x:c r="T13" s="32" t="str">
        <x:v>R-04</x:v>
      </x:c>
      <x:c r="U13" s="32" t="str">
        <x:v>CLM-P-01,CLM-P-02</x:v>
      </x:c>
      <x:c r="V13" s="32" t="str">
        <x:v>진행상황-문제정의-2.md:133-209</x:v>
      </x:c>
      <x:c r="W13" s="32" t="str">
        <x:v>timeout/cancel/resource release와 인증 실패가 정상 결과로 노출되지 않음</x:v>
      </x:c>
      <x:c r="X13" s="32" t="str">
        <x:v>V-ARCH-01</x:v>
      </x:c>
      <x:c r="Y13" s="32" t="str">
        <x:v>cancel/timeout/auth E2E</x:v>
      </x:c>
      <x:c r="Z13" s="32" t="str">
        <x:v>staging</x:v>
      </x:c>
      <x:c r="AA13" s="32" t="str">
        <x:v>실패 envelope·resource release 100%</x:v>
      </x:c>
      <x:c r="AB13" s="32" t="str">
        <x:v>evidence://P0-03-executor-auth</x:v>
      </x:c>
      <x:c r="AC13" s="32" t="str">
        <x:v>조은채</x:v>
      </x:c>
      <x:c r="AD13" s="32" t="str">
        <x:v>E2E 실패 시 release 차단</x:v>
      </x:c>
      <x:c r="AE13" s="32" t="str">
        <x:v>보안</x:v>
      </x:c>
      <x:c r="AF13" s="32" t="n">
        <x:v>2</x:v>
      </x:c>
      <x:c r="AG13" s="32" t="n">
        <x:v>3</x:v>
      </x:c>
      <x:c r="AH13" s="32" t="str">
        <x:v>격리는 비밀관리 대체 불가</x:v>
      </x:c>
      <x:c r="AI13" s="32" t="str">
        <x:v>1.4 종료</x:v>
      </x:c>
      <x:c r="AJ13" s="33" t="str"/>
    </x:row>
    <x:row r="14" ht="30" customHeight="1">
      <x:c r="A14" s="102" t="str">
        <x:v>Level2</x:v>
      </x:c>
      <x:c r="B14" s="103" t="str">
        <x:v>1.5</x:v>
      </x:c>
      <x:c r="C14" s="111" t="str"/>
      <x:c r="D14" s="111" t="str">
        <x:v>영속성</x:v>
      </x:c>
      <x:c r="E14" s="111" t="str">
        <x:v>상태 영속성·idempotency·동시성·격리 구현</x:v>
      </x:c>
      <x:c r="F14" s="103" t="str">
        <x:v>윤서준</x:v>
      </x:c>
      <x:c r="G14" s="103" t="str">
        <x:v>고준영</x:v>
      </x:c>
      <x:c r="H14" s="133" t="n">
        <x:f>$O$2+5</x:f>
        <x:v>46251</x:v>
      </x:c>
      <x:c r="I14" s="133" t="n">
        <x:f>$O$2+8</x:f>
        <x:v>46254</x:v>
      </x:c>
      <x:c r="J14" s="133" t="str"/>
      <x:c r="K14" s="133" t="str"/>
      <x:c r="L14" s="134" t="n">
        <x:f>NETWORKDAYS(H14,I14)</x:f>
        <x:v>4</x:v>
      </x:c>
      <x:c r="M14" s="134" t="str">
        <x:f>IF(OR(J14="",K14=""),"",NETWORKDAYS(J14,K14))</x:f>
      </x:c>
      <x:c r="N14" s="141" t="n">
        <x:v>24</x:v>
      </x:c>
      <x:c r="O14" s="103" t="str">
        <x:f>IF($A14&lt;&gt;"Level2","-",IF(F14="","",IF(SUMIFS($N$8:$N$24,$F$8:$F$24,F14,$A$8:$A$24,"Level2")&gt;SUMIF('설정_목록'!$E$4:$E$8,F14,'설정_목록'!$I$4:$I$8),"과부하","정상")))</x:f>
        <x:v>과부하</x:v>
      </x:c>
      <x:c r="P14" s="103" t="str">
        <x:f>IF(AND($A14="Level2",S14="P0",OR(U14="",W14="",X14="",Y14="",Z14="",AA14="",AB14="",AC14="",AD14="",LEFT(AB14,11)="evidence://")),"증적 미완료",IF(R14=1,"완료",IF(OR(J14="",K14=""),"미입력",IF(TODAY()&gt;I14,"지연","정상"))))</x:f>
        <x:v>증적 미완료</x:v>
      </x:c>
      <x:c r="Q14" s="126" t="n">
        <x:f>IF(TODAY()&lt;H14,0,IF(TODAY()&gt;I14,1,(TODAY()-H14+1)/(I14-H14+1)))</x:f>
        <x:v>0</x:v>
      </x:c>
      <x:c r="R14" s="126" t="n">
        <x:v>0</x:v>
      </x:c>
      <x:c r="S14" s="103" t="str">
        <x:v>P0</x:v>
      </x:c>
      <x:c r="T14" s="103" t="str">
        <x:v>R-04</x:v>
      </x:c>
      <x:c r="U14" s="103" t="str">
        <x:v>CLM-P-01</x:v>
      </x:c>
      <x:c r="V14" s="103" t="str">
        <x:v>진행상황-문제정의-2.md:133-165</x:v>
      </x:c>
      <x:c r="W14" s="103" t="str">
        <x:v>재시작/부하에서 orphan·duplicate=0, 동시성 상한 적용</x:v>
      </x:c>
      <x:c r="X14" s="103" t="str">
        <x:v>V-ARCH-01</x:v>
      </x:c>
      <x:c r="Y14" s="103" t="str">
        <x:v>bounded concurrency/restart/idempotency workload</x:v>
      </x:c>
      <x:c r="Z14" s="103" t="str">
        <x:v>staging</x:v>
      </x:c>
      <x:c r="AA14" s="103" t="str">
        <x:v>orphan=0; duplicate=0</x:v>
      </x:c>
      <x:c r="AB14" s="103" t="str">
        <x:v>evidence://P0-04-persistence</x:v>
      </x:c>
      <x:c r="AC14" s="103" t="str">
        <x:v>조은채</x:v>
      </x:c>
      <x:c r="AD14" s="103" t="str">
        <x:v>orphan/duplicate 발생 시 롤백</x:v>
      </x:c>
      <x:c r="AE14" s="103" t="str">
        <x:v>신뢰성</x:v>
      </x:c>
      <x:c r="AF14" s="103" t="n">
        <x:v>1</x:v>
      </x:c>
      <x:c r="AG14" s="103" t="n">
        <x:v>4</x:v>
      </x:c>
      <x:c r="AH14" s="103" t="str">
        <x:v>도입 자체가 durable 보장 아님</x:v>
      </x:c>
      <x:c r="AI14" s="103" t="str">
        <x:v>1.5 종료</x:v>
      </x:c>
      <x:c r="AJ14" s="103" t="str"/>
    </x:row>
    <x:row r="15" ht="30" customHeight="1">
      <x:c r="A15" s="31" t="str">
        <x:v>Level2</x:v>
      </x:c>
      <x:c r="B15" s="32" t="str">
        <x:v>1.6</x:v>
      </x:c>
      <x:c r="C15" s="112" t="str"/>
      <x:c r="D15" s="112" t="str">
        <x:v>E2E</x:v>
      </x:c>
      <x:c r="E15" s="112" t="str">
        <x:v>인증된 request-to-report E2E 경로 검증</x:v>
      </x:c>
      <x:c r="F15" s="32" t="str">
        <x:v>조은채</x:v>
      </x:c>
      <x:c r="G15" s="32" t="str">
        <x:v>윤서준</x:v>
      </x:c>
      <x:c r="H15" s="135" t="n">
        <x:f>$O$2+8</x:f>
        <x:v>46254</x:v>
      </x:c>
      <x:c r="I15" s="135" t="n">
        <x:f>$O$2+10</x:f>
        <x:v>46256</x:v>
      </x:c>
      <x:c r="J15" s="135" t="str"/>
      <x:c r="K15" s="135" t="str"/>
      <x:c r="L15" s="136" t="n">
        <x:f>NETWORKDAYS(H15,I15)</x:f>
        <x:v>2</x:v>
      </x:c>
      <x:c r="M15" s="136" t="str">
        <x:f>IF(OR(J15="",K15=""),"",NETWORKDAYS(J15,K15))</x:f>
      </x:c>
      <x:c r="N15" s="142" t="n">
        <x:v>18</x:v>
      </x:c>
      <x:c r="O15" s="32" t="str">
        <x:f>IF($A15&lt;&gt;"Level2","-",IF(F15="","",IF(SUMIFS($N$8:$N$24,$F$8:$F$24,F15,$A$8:$A$24,"Level2")&gt;SUMIF('설정_목록'!$E$4:$E$8,F15,'설정_목록'!$I$4:$I$8),"과부하","정상")))</x:f>
        <x:v>정상</x:v>
      </x:c>
      <x:c r="P15" s="32" t="str">
        <x:f>IF(AND($A15="Level2",S15="P0",OR(U15="",W15="",X15="",Y15="",Z15="",AA15="",AB15="",AC15="",AD15="",LEFT(AB15,11)="evidence://")),"증적 미완료",IF(R15=1,"완료",IF(OR(J15="",K15=""),"미입력",IF(TODAY()&gt;I15,"지연","정상"))))</x:f>
        <x:v>증적 미완료</x:v>
      </x:c>
      <x:c r="Q15" s="127" t="n">
        <x:f>IF(TODAY()&lt;H15,0,IF(TODAY()&gt;I15,1,(TODAY()-H15+1)/(I15-H15+1)))</x:f>
        <x:v>0</x:v>
      </x:c>
      <x:c r="R15" s="127" t="n">
        <x:v>0</x:v>
      </x:c>
      <x:c r="S15" s="32" t="str">
        <x:v>P0</x:v>
      </x:c>
      <x:c r="T15" s="32" t="str">
        <x:v>R-04</x:v>
      </x:c>
      <x:c r="U15" s="32" t="str">
        <x:v>CLM-DEPLOY</x:v>
      </x:c>
      <x:c r="V15" s="32" t="str">
        <x:v>README.md:48-73</x:v>
      </x:c>
      <x:c r="W15" s="32" t="str">
        <x:v>브라우저→ingress→AI→executor→report trace 단일 ID 연결</x:v>
      </x:c>
      <x:c r="X15" s="32" t="str">
        <x:v>V-ARCH-01</x:v>
      </x:c>
      <x:c r="Y15" s="32" t="str">
        <x:v>인증 브라우저 E2E + trace</x:v>
      </x:c>
      <x:c r="Z15" s="32" t="str">
        <x:v>authenticated staging</x:v>
      </x:c>
      <x:c r="AA15" s="32" t="str">
        <x:v>trace 100%</x:v>
      </x:c>
      <x:c r="AB15" s="32" t="str">
        <x:v>evidence://P0-05-e2e</x:v>
      </x:c>
      <x:c r="AC15" s="32" t="str">
        <x:v>조은채</x:v>
      </x:c>
      <x:c r="AD15" s="32" t="str">
        <x:v>E2E/trace 누락 시 운영 gate 반려</x:v>
      </x:c>
      <x:c r="AE15" s="32" t="str">
        <x:v>UX/audit</x:v>
      </x:c>
      <x:c r="AF15" s="32" t="n">
        <x:v>2</x:v>
      </x:c>
      <x:c r="AG15" s="32" t="n">
        <x:v>4</x:v>
      </x:c>
      <x:c r="AH15" s="32" t="str">
        <x:v>라벨은 데이터 통제 아님</x:v>
      </x:c>
      <x:c r="AI15" s="32" t="str">
        <x:v>1.6 종료</x:v>
      </x:c>
      <x:c r="AJ15" s="33" t="str"/>
    </x:row>
    <x:row r="16" ht="30" customHeight="1">
      <x:c r="A16" s="97" t="str">
        <x:v>Level1</x:v>
      </x:c>
      <x:c r="B16" s="98" t="str">
        <x:v>2</x:v>
      </x:c>
      <x:c r="C16" s="110" t="str">
        <x:v>데이터·정량 방법론</x:v>
      </x:c>
      <x:c r="D16" s="110" t="str"/>
      <x:c r="E16" s="110" t="str">
        <x:v>provenance·PIT·OOS/PBO·비용/benchmark/regime 검증</x:v>
      </x:c>
      <x:c r="F16" s="98" t="str">
        <x:v>육은서</x:v>
      </x:c>
      <x:c r="G16" s="98" t="str">
        <x:v>윤민호</x:v>
      </x:c>
      <x:c r="H16" s="131" t="n">
        <x:f>$O$2+1</x:f>
        <x:v>46247</x:v>
      </x:c>
      <x:c r="I16" s="131" t="n">
        <x:f>$O$2+12</x:f>
        <x:v>46258</x:v>
      </x:c>
      <x:c r="J16" s="131" t="str"/>
      <x:c r="K16" s="131" t="str"/>
      <x:c r="L16" s="132" t="n">
        <x:f>NETWORKDAYS(H16,I16)</x:f>
        <x:v>8</x:v>
      </x:c>
      <x:c r="M16" s="132" t="str">
        <x:f>IF(OR(J16="",K16=""),"",NETWORKDAYS(J16,K16))</x:f>
      </x:c>
      <x:c r="N16" s="140" t="n">
        <x:v>0</x:v>
      </x:c>
      <x:c r="O16" s="98" t="str">
        <x:f>IF($A16&lt;&gt;"Level2","-",IF(F16="","",IF(SUMIFS($N$8:$N$24,$F$8:$F$24,F16,$A$8:$A$24,"Level2")&gt;SUMIF('설정_목록'!$E$4:$E$8,F16,'설정_목록'!$I$4:$I$8),"과부하","정상")))</x:f>
        <x:v>-</x:v>
      </x:c>
      <x:c r="P16" s="98" t="str">
        <x:f>IF(AND($A16="Level2",S16="P0",OR(U16="",W16="",X16="",Y16="",Z16="",AA16="",AB16="",AC16="",AD16="",LEFT(AB16,11)="evidence://")),"증적 미완료",IF(R16=1,"완료",IF(OR(J16="",K16=""),"미입력",IF(TODAY()&gt;I16,"지연","정상"))))</x:f>
        <x:v>미입력</x:v>
      </x:c>
      <x:c r="Q16" s="125" t="n">
        <x:f>IF(TODAY()&lt;H16,0,IF(TODAY()&gt;I16,1,(TODAY()-H16+1)/(I16-H16+1)))</x:f>
        <x:v>0.08333333333333333</x:v>
      </x:c>
      <x:c r="R16" s="125" t="n">
        <x:v>0</x:v>
      </x:c>
      <x:c r="S16" s="98" t="str">
        <x:v>P0</x:v>
      </x:c>
      <x:c r="T16" s="98" t="str">
        <x:v>R-01,R-03</x:v>
      </x:c>
      <x:c r="U16" s="98" t="str">
        <x:v>CLM-Q-*</x:v>
      </x:c>
      <x:c r="V16" s="98" t="str">
        <x:v>진행상황-문제정의-2.md:18-119</x:v>
      </x:c>
      <x:c r="W16" s="98" t="str">
        <x:v>PIT→OOS→평가기 의미론 순서 준수</x:v>
      </x:c>
      <x:c r="X16" s="98" t="str">
        <x:v>V-DATA-01,V-QUANT-*</x:v>
      </x:c>
      <x:c r="Y16" s="98" t="str">
        <x:v>manifest + versioned eval</x:v>
      </x:c>
      <x:c r="Z16" s="98" t="str">
        <x:v>immutable snapshot</x:v>
      </x:c>
      <x:c r="AA16" s="98" t="str">
        <x:v>PIT/OOS/parity 계약 충족</x:v>
      </x:c>
      <x:c r="AB16" s="98" t="str">
        <x:v>evidence://quant-master</x:v>
      </x:c>
      <x:c r="AC16" s="98" t="str">
        <x:v>조은채</x:v>
      </x:c>
      <x:c r="AD16" s="98" t="str">
        <x:v>IS 포함/불일치 시 추천 차단</x:v>
      </x:c>
      <x:c r="AE16" s="98" t="str">
        <x:v>AI 평가</x:v>
      </x:c>
      <x:c r="AF16" s="98" t="n">
        <x:v>1</x:v>
      </x:c>
      <x:c r="AG16" s="98" t="n">
        <x:v>4</x:v>
      </x:c>
      <x:c r="AH16" s="98" t="str">
        <x:v>OOS는 투자 성과 보장 아님</x:v>
      </x:c>
      <x:c r="AI16" s="98" t="str">
        <x:v>2 종료</x:v>
      </x:c>
      <x:c r="AJ16" s="98" t="str"/>
    </x:row>
    <x:row r="17" ht="30" customHeight="1">
      <x:c r="A17" s="31" t="str">
        <x:v>Level2</x:v>
      </x:c>
      <x:c r="B17" s="32" t="str">
        <x:v>2.1</x:v>
      </x:c>
      <x:c r="C17" s="112" t="str"/>
      <x:c r="D17" s="112" t="str">
        <x:v>provenance</x:v>
      </x:c>
      <x:c r="E17" s="112" t="str">
        <x:v>profile별 source/failure manifest</x:v>
      </x:c>
      <x:c r="F17" s="32" t="str">
        <x:v>윤민호</x:v>
      </x:c>
      <x:c r="G17" s="32" t="str">
        <x:v>조은채</x:v>
      </x:c>
      <x:c r="H17" s="135" t="n">
        <x:f>$O$2+1</x:f>
        <x:v>46247</x:v>
      </x:c>
      <x:c r="I17" s="135" t="n">
        <x:f>$O$2+3</x:f>
        <x:v>46249</x:v>
      </x:c>
      <x:c r="J17" s="135" t="str"/>
      <x:c r="K17" s="135" t="str"/>
      <x:c r="L17" s="136" t="n">
        <x:f>NETWORKDAYS(H17,I17)</x:f>
        <x:v>2</x:v>
      </x:c>
      <x:c r="M17" s="136" t="str">
        <x:f>IF(OR(J17="",K17=""),"",NETWORKDAYS(J17,K17))</x:f>
      </x:c>
      <x:c r="N17" s="142" t="n">
        <x:v>16</x:v>
      </x:c>
      <x:c r="O17" s="32" t="str">
        <x:f>IF($A17&lt;&gt;"Level2","-",IF(F17="","",IF(SUMIFS($N$8:$N$24,$F$8:$F$24,F17,$A$8:$A$24,"Level2")&gt;SUMIF('설정_목록'!$E$4:$E$8,F17,'설정_목록'!$I$4:$I$8),"과부하","정상")))</x:f>
        <x:v>정상</x:v>
      </x:c>
      <x:c r="P17" s="32" t="str">
        <x:f>IF(AND($A17="Level2",S17="P0",OR(U17="",W17="",X17="",Y17="",Z17="",AA17="",AB17="",AC17="",AD17="",LEFT(AB17,11)="evidence://")),"증적 미완료",IF(R17=1,"완료",IF(OR(J17="",K17=""),"미입력",IF(TODAY()&gt;I17,"지연","정상"))))</x:f>
        <x:v>증적 미완료</x:v>
      </x:c>
      <x:c r="Q17" s="127" t="n">
        <x:f>IF(TODAY()&lt;H17,0,IF(TODAY()&gt;I17,1,(TODAY()-H17+1)/(I17-H17+1)))</x:f>
        <x:v>0.3333333333333333</x:v>
      </x:c>
      <x:c r="R17" s="127" t="n">
        <x:v>0</x:v>
      </x:c>
      <x:c r="S17" s="32" t="str">
        <x:v>P0</x:v>
      </x:c>
      <x:c r="T17" s="32" t="str">
        <x:v>R-01</x:v>
      </x:c>
      <x:c r="U17" s="32" t="str">
        <x:v>CLM-R-01,CLM-Q-01</x:v>
      </x:c>
      <x:c r="V17" s="32" t="str">
        <x:v>README.md:48-73</x:v>
      </x:c>
      <x:c r="W17" s="32" t="str">
        <x:v>fixture/운영 profile source·failure·fallback 계약 회귀 통과</x:v>
      </x:c>
      <x:c r="X17" s="32" t="str">
        <x:v>V-DATA-01</x:v>
      </x:c>
      <x:c r="Y17" s="32" t="str">
        <x:v>profile contract regression</x:v>
      </x:c>
      <x:c r="Z17" s="32" t="str">
        <x:v>immutable snapshot</x:v>
      </x:c>
      <x:c r="AA17" s="32" t="str">
        <x:v>configured DSN 실패 시 fixture 대체 0건</x:v>
      </x:c>
      <x:c r="AB17" s="32" t="str">
        <x:v>evidence://P0-06-provenance</x:v>
      </x:c>
      <x:c r="AC17" s="32" t="str">
        <x:v>조은채</x:v>
      </x:c>
      <x:c r="AD17" s="32" t="str">
        <x:v>계약 위반 시 노출 차단</x:v>
      </x:c>
      <x:c r="AE17" s="32" t="str">
        <x:v>재현성</x:v>
      </x:c>
      <x:c r="AF17" s="32" t="n">
        <x:v>2</x:v>
      </x:c>
      <x:c r="AG17" s="32" t="n">
        <x:v>4</x:v>
      </x:c>
      <x:c r="AH17" s="32" t="str">
        <x:v>Open: 운영 profile 실측</x:v>
      </x:c>
      <x:c r="AI17" s="32" t="str">
        <x:v>2.1 종료</x:v>
      </x:c>
      <x:c r="AJ17" s="33" t="str"/>
    </x:row>
    <x:row r="18" ht="30" customHeight="1">
      <x:c r="A18" s="102" t="str">
        <x:v>Level2</x:v>
      </x:c>
      <x:c r="B18" s="103" t="str">
        <x:v>2.2</x:v>
      </x:c>
      <x:c r="C18" s="111" t="str"/>
      <x:c r="D18" s="111" t="str">
        <x:v>PIT/freshness</x:v>
      </x:c>
      <x:c r="E18" s="111" t="str">
        <x:v>PIT universe·상폐·freshness·lineage hash 검증</x:v>
      </x:c>
      <x:c r="F18" s="103" t="str">
        <x:v>윤민호</x:v>
      </x:c>
      <x:c r="G18" s="103" t="str">
        <x:v>조은채</x:v>
      </x:c>
      <x:c r="H18" s="133" t="n">
        <x:f>$O$2+3</x:f>
        <x:v>46249</x:v>
      </x:c>
      <x:c r="I18" s="133" t="n">
        <x:f>$O$2+6</x:f>
        <x:v>46252</x:v>
      </x:c>
      <x:c r="J18" s="133" t="str"/>
      <x:c r="K18" s="133" t="str"/>
      <x:c r="L18" s="134" t="n">
        <x:f>NETWORKDAYS(H18,I18)</x:f>
        <x:v>2</x:v>
      </x:c>
      <x:c r="M18" s="134" t="str">
        <x:f>IF(OR(J18="",K18=""),"",NETWORKDAYS(J18,K18))</x:f>
      </x:c>
      <x:c r="N18" s="141" t="n">
        <x:v>24</x:v>
      </x:c>
      <x:c r="O18" s="103" t="str">
        <x:f>IF($A18&lt;&gt;"Level2","-",IF(F18="","",IF(SUMIFS($N$8:$N$24,$F$8:$F$24,F18,$A$8:$A$24,"Level2")&gt;SUMIF('설정_목록'!$E$4:$E$8,F18,'설정_목록'!$I$4:$I$8),"과부하","정상")))</x:f>
        <x:v>정상</x:v>
      </x:c>
      <x:c r="P18" s="103" t="str">
        <x:f>IF(AND($A18="Level2",S18="P0",OR(U18="",W18="",X18="",Y18="",Z18="",AA18="",AB18="",AC18="",AD18="",LEFT(AB18,11)="evidence://")),"증적 미완료",IF(R18=1,"완료",IF(OR(J18="",K18=""),"미입력",IF(TODAY()&gt;I18,"지연","정상"))))</x:f>
        <x:v>증적 미완료</x:v>
      </x:c>
      <x:c r="Q18" s="126" t="n">
        <x:f>IF(TODAY()&lt;H18,0,IF(TODAY()&gt;I18,1,(TODAY()-H18+1)/(I18-H18+1)))</x:f>
        <x:v>0</x:v>
      </x:c>
      <x:c r="R18" s="126" t="n">
        <x:v>0</x:v>
      </x:c>
      <x:c r="S18" s="103" t="str">
        <x:v>P0</x:v>
      </x:c>
      <x:c r="T18" s="103" t="str">
        <x:v>R-01</x:v>
      </x:c>
      <x:c r="U18" s="103" t="str">
        <x:v>CLM-Q-01,M-Q01</x:v>
      </x:c>
      <x:c r="V18" s="103" t="str">
        <x:v>진행상황-문제정의-2.md:18-34</x:v>
      </x:c>
      <x:c r="W18" s="103" t="str">
        <x:v>as-of snapshot·상폐 비교·freshness threshold·lineage hash 기록</x:v>
      </x:c>
      <x:c r="X18" s="103" t="str">
        <x:v>V-DATA-01</x:v>
      </x:c>
      <x:c r="Y18" s="103" t="str">
        <x:v>as-of manifest 비교·lineage hash·freshness check</x:v>
      </x:c>
      <x:c r="Z18" s="103" t="str">
        <x:v>immutable snapshot</x:v>
      </x:c>
      <x:c r="AA18" s="103" t="str">
        <x:v>snapshot/hash 100%; freshness SLO 충족</x:v>
      </x:c>
      <x:c r="AB18" s="103" t="str">
        <x:v>evidence://P0-07-pit</x:v>
      </x:c>
      <x:c r="AC18" s="103" t="str">
        <x:v>조은채</x:v>
      </x:c>
      <x:c r="AD18" s="103" t="str">
        <x:v>snapshot/hash 없음은 Retest-required</x:v>
      </x:c>
      <x:c r="AE18" s="103" t="str">
        <x:v>재현성</x:v>
      </x:c>
      <x:c r="AF18" s="103" t="n">
        <x:v>2</x:v>
      </x:c>
      <x:c r="AG18" s="103" t="n">
        <x:v>4</x:v>
      </x:c>
      <x:c r="AH18" s="103" t="str">
        <x:v>실데이터 일반화 미확정</x:v>
      </x:c>
      <x:c r="AI18" s="103" t="str">
        <x:v>2.2 종료</x:v>
      </x:c>
      <x:c r="AJ18" s="103" t="str"/>
    </x:row>
    <x:row r="19" ht="30" customHeight="1">
      <x:c r="A19" s="31" t="str">
        <x:v>Level2</x:v>
      </x:c>
      <x:c r="B19" s="32" t="str">
        <x:v>2.3</x:v>
      </x:c>
      <x:c r="C19" s="112" t="str"/>
      <x:c r="D19" s="112" t="str">
        <x:v>OOS/PBO</x:v>
      </x:c>
      <x:c r="E19" s="112" t="str">
        <x:v>warm-up·pseudo-OOS/walk-forward·PBO/CSCV 검증</x:v>
      </x:c>
      <x:c r="F19" s="32" t="str">
        <x:v>육은서</x:v>
      </x:c>
      <x:c r="G19" s="32" t="str">
        <x:v>조은채</x:v>
      </x:c>
      <x:c r="H19" s="135" t="n">
        <x:f>$O$2+6</x:f>
        <x:v>46252</x:v>
      </x:c>
      <x:c r="I19" s="135" t="n">
        <x:f>$O$2+9</x:f>
        <x:v>46255</x:v>
      </x:c>
      <x:c r="J19" s="135" t="str"/>
      <x:c r="K19" s="135" t="str"/>
      <x:c r="L19" s="136" t="n">
        <x:f>NETWORKDAYS(H19,I19)</x:f>
        <x:v>4</x:v>
      </x:c>
      <x:c r="M19" s="136" t="str">
        <x:f>IF(OR(J19="",K19=""),"",NETWORKDAYS(J19,K19))</x:f>
      </x:c>
      <x:c r="N19" s="142" t="n">
        <x:v>24</x:v>
      </x:c>
      <x:c r="O19" s="32" t="str">
        <x:f>IF($A19&lt;&gt;"Level2","-",IF(F19="","",IF(SUMIFS($N$8:$N$24,$F$8:$F$24,F19,$A$8:$A$24,"Level2")&gt;SUMIF('설정_목록'!$E$4:$E$8,F19,'설정_목록'!$I$4:$I$8),"과부하","정상")))</x:f>
        <x:v>정상</x:v>
      </x:c>
      <x:c r="P19" s="32" t="str">
        <x:f>IF(AND($A19="Level2",S19="P0",OR(U19="",W19="",X19="",Y19="",Z19="",AA19="",AB19="",AC19="",AD19="",LEFT(AB19,11)="evidence://")),"증적 미완료",IF(R19=1,"완료",IF(OR(J19="",K19=""),"미입력",IF(TODAY()&gt;I19,"지연","정상"))))</x:f>
        <x:v>증적 미완료</x:v>
      </x:c>
      <x:c r="Q19" s="127" t="n">
        <x:f>IF(TODAY()&lt;H19,0,IF(TODAY()&gt;I19,1,(TODAY()-H19+1)/(I19-H19+1)))</x:f>
        <x:v>0</x:v>
      </x:c>
      <x:c r="R19" s="127" t="n">
        <x:v>0</x:v>
      </x:c>
      <x:c r="S19" s="32" t="str">
        <x:v>P0</x:v>
      </x:c>
      <x:c r="T19" s="32" t="str">
        <x:v>R-03</x:v>
      </x:c>
      <x:c r="U19" s="32" t="str">
        <x:v>CLM-Q-01,CLM-Q-02,CLM-E-01</x:v>
      </x:c>
      <x:c r="V19" s="32" t="str">
        <x:v>진행상황-문제정의-2.md:18-43</x:v>
      </x:c>
      <x:c r="W19" s="32" t="str">
        <x:v>warm-up 신호 0; OOS-only headline; PBO/CSCV 방법·결과·한계 고정</x:v>
      </x:c>
      <x:c r="X19" s="32" t="str">
        <x:v>V-QUANT-01</x:v>
      </x:c>
      <x:c r="Y19" s="32" t="str">
        <x:v>longest-window fixture + pseudo-OOS/walk-forward + PBO/CSCV</x:v>
      </x:c>
      <x:c r="Z19" s="32" t="str">
        <x:v>versioned eval/holdout</x:v>
      </x:c>
      <x:c r="AA19" s="32" t="str">
        <x:v>IS 제외; 방법·입력·결과 기록</x:v>
      </x:c>
      <x:c r="AB19" s="32" t="str">
        <x:v>evidence://P0-08-oos-pbo</x:v>
      </x:c>
      <x:c r="AC19" s="32" t="str">
        <x:v>조은채</x:v>
      </x:c>
      <x:c r="AD19" s="32" t="str">
        <x:v>IS 포함/방법 미정은 사용자 노출 금지</x:v>
      </x:c>
      <x:c r="AE19" s="32" t="str">
        <x:v>AI 평가</x:v>
      </x:c>
      <x:c r="AF19" s="32" t="n">
        <x:v>1</x:v>
      </x:c>
      <x:c r="AG19" s="32" t="n">
        <x:v>4</x:v>
      </x:c>
      <x:c r="AH19" s="32" t="str">
        <x:v>OOS가 투자 결과 보장 아님</x:v>
      </x:c>
      <x:c r="AI19" s="32" t="str">
        <x:v>2.3 종료</x:v>
      </x:c>
      <x:c r="AJ19" s="33" t="str"/>
    </x:row>
    <x:row r="20" ht="30" customHeight="1">
      <x:c r="A20" s="102" t="str">
        <x:v>Level2</x:v>
      </x:c>
      <x:c r="B20" s="103" t="str">
        <x:v>2.4</x:v>
      </x:c>
      <x:c r="C20" s="111" t="str"/>
      <x:c r="D20" s="111" t="str">
        <x:v>parity/cost</x:v>
      </x:c>
      <x:c r="E20" s="111" t="str">
        <x:v>평가기 parity·benchmark·비용/슬리피지·regime robustness</x:v>
      </x:c>
      <x:c r="F20" s="103" t="str">
        <x:v>육은서</x:v>
      </x:c>
      <x:c r="G20" s="103" t="str">
        <x:v>윤서준</x:v>
      </x:c>
      <x:c r="H20" s="133" t="n">
        <x:f>$O$2+8</x:f>
        <x:v>46254</x:v>
      </x:c>
      <x:c r="I20" s="133" t="n">
        <x:f>$O$2+12</x:f>
        <x:v>46258</x:v>
      </x:c>
      <x:c r="J20" s="133" t="str"/>
      <x:c r="K20" s="133" t="str"/>
      <x:c r="L20" s="134" t="n">
        <x:f>NETWORKDAYS(H20,I20)</x:f>
        <x:v>3</x:v>
      </x:c>
      <x:c r="M20" s="134" t="str">
        <x:f>IF(OR(J20="",K20=""),"",NETWORKDAYS(J20,K20))</x:f>
      </x:c>
      <x:c r="N20" s="141" t="n">
        <x:v>26</x:v>
      </x:c>
      <x:c r="O20" s="103" t="str">
        <x:f>IF($A20&lt;&gt;"Level2","-",IF(F20="","",IF(SUMIFS($N$8:$N$24,$F$8:$F$24,F20,$A$8:$A$24,"Level2")&gt;SUMIF('설정_목록'!$E$4:$E$8,F20,'설정_목록'!$I$4:$I$8),"과부하","정상")))</x:f>
        <x:v>정상</x:v>
      </x:c>
      <x:c r="P20" s="103" t="str">
        <x:f>IF(AND($A20="Level2",S20="P0",OR(U20="",W20="",X20="",Y20="",Z20="",AA20="",AB20="",AC20="",AD20="",LEFT(AB20,11)="evidence://")),"증적 미완료",IF(R20=1,"완료",IF(OR(J20="",K20=""),"미입력",IF(TODAY()&gt;I20,"지연","정상"))))</x:f>
        <x:v>증적 미완료</x:v>
      </x:c>
      <x:c r="Q20" s="126" t="n">
        <x:f>IF(TODAY()&lt;H20,0,IF(TODAY()&gt;I20,1,(TODAY()-H20+1)/(I20-H20+1)))</x:f>
        <x:v>0</x:v>
      </x:c>
      <x:c r="R20" s="126" t="n">
        <x:v>0</x:v>
      </x:c>
      <x:c r="S20" s="103" t="str">
        <x:v>P0</x:v>
      </x:c>
      <x:c r="T20" s="103" t="str">
        <x:v>R-03</x:v>
      </x:c>
      <x:c r="U20" s="103" t="str">
        <x:v>CLM-Q-03,CLM-E-02,M-Q03</x:v>
      </x:c>
      <x:c r="V20" s="103" t="str">
        <x:v>진행상황-문제정의-2.md:46-119</x:v>
      </x:c>
      <x:c r="W20" s="103" t="str">
        <x:v>정의 불일치=0; benchmark·fill/cost·regime 결과와 한계 공개</x:v>
      </x:c>
      <x:c r="X20" s="103" t="str">
        <x:v>V-QUANT-02</x:v>
      </x:c>
      <x:c r="Y20" s="103" t="str">
        <x:v>evaluator parity·benchmark·fill/cost·regime slice</x:v>
      </x:c>
      <x:c r="Z20" s="103" t="str">
        <x:v>versioned cost/fill dataset</x:v>
      </x:c>
      <x:c r="AA20" s="103" t="str">
        <x:v>정의 불일치 0; 결과 공개</x:v>
      </x:c>
      <x:c r="AB20" s="103" t="str">
        <x:v>evidence://P0-09-evaluator</x:v>
      </x:c>
      <x:c r="AC20" s="103" t="str">
        <x:v>조은채</x:v>
      </x:c>
      <x:c r="AD20" s="103" t="str">
        <x:v>불일치 시 추천/성과 헤드라인 차단</x:v>
      </x:c>
      <x:c r="AE20" s="103" t="str">
        <x:v>AI 평가</x:v>
      </x:c>
      <x:c r="AF20" s="103" t="n">
        <x:v>1</x:v>
      </x:c>
      <x:c r="AG20" s="103" t="n">
        <x:v>4</x:v>
      </x:c>
      <x:c r="AH20" s="103" t="str">
        <x:v>기존 개선은 Retest-required</x:v>
      </x:c>
      <x:c r="AI20" s="103" t="str">
        <x:v>2.4 종료</x:v>
      </x:c>
      <x:c r="AJ20" s="103" t="str"/>
    </x:row>
    <x:row r="21" ht="30" customHeight="1">
      <x:c r="A21" s="97" t="str">
        <x:v>Level1</x:v>
      </x:c>
      <x:c r="B21" s="98" t="str">
        <x:v>3</x:v>
      </x:c>
      <x:c r="C21" s="110" t="str">
        <x:v>운영·출시</x:v>
      </x:c>
      <x:c r="D21" s="110" t="str"/>
      <x:c r="E21" s="110" t="str">
        <x:v>SLO·forward/paper·migration/restore/rollback 및 08-31 배포</x:v>
      </x:c>
      <x:c r="F21" s="98" t="str">
        <x:v>고준영</x:v>
      </x:c>
      <x:c r="G21" s="98" t="str">
        <x:v>윤서준</x:v>
      </x:c>
      <x:c r="H21" s="131" t="n">
        <x:f>$O$2+10</x:f>
        <x:v>46256</x:v>
      </x:c>
      <x:c r="I21" s="131" t="n">
        <x:f>$O$2+18</x:f>
        <x:v>46264</x:v>
      </x:c>
      <x:c r="J21" s="131" t="str"/>
      <x:c r="K21" s="131" t="str"/>
      <x:c r="L21" s="132" t="n">
        <x:f>NETWORKDAYS(H21,I21)</x:f>
        <x:v>5</x:v>
      </x:c>
      <x:c r="M21" s="132" t="str">
        <x:f>IF(OR(J21="",K21=""),"",NETWORKDAYS(J21,K21))</x:f>
      </x:c>
      <x:c r="N21" s="140" t="n">
        <x:v>0</x:v>
      </x:c>
      <x:c r="O21" s="98" t="str">
        <x:f>IF($A21&lt;&gt;"Level2","-",IF(F21="","",IF(SUMIFS($N$8:$N$24,$F$8:$F$24,F21,$A$8:$A$24,"Level2")&gt;SUMIF('설정_목록'!$E$4:$E$8,F21,'설정_목록'!$I$4:$I$8),"과부하","정상")))</x:f>
        <x:v>-</x:v>
      </x:c>
      <x:c r="P21" s="98" t="str">
        <x:f>IF(AND($A21="Level2",S21="P0",OR(U21="",W21="",X21="",Y21="",Z21="",AA21="",AB21="",AC21="",AD21="",LEFT(AB21,11)="evidence://")),"증적 미완료",IF(R21=1,"완료",IF(OR(J21="",K21=""),"미입력",IF(TODAY()&gt;I21,"지연","정상"))))</x:f>
        <x:v>미입력</x:v>
      </x:c>
      <x:c r="Q21" s="125" t="n">
        <x:f>IF(TODAY()&lt;H21,0,IF(TODAY()&gt;I21,1,(TODAY()-H21+1)/(I21-H21+1)))</x:f>
        <x:v>0</x:v>
      </x:c>
      <x:c r="R21" s="125" t="n">
        <x:v>0</x:v>
      </x:c>
      <x:c r="S21" s="98" t="str">
        <x:v>P0</x:v>
      </x:c>
      <x:c r="T21" s="98" t="str">
        <x:v>R-05</x:v>
      </x:c>
      <x:c r="U21" s="98" t="str">
        <x:v>CLM-DEPLOY</x:v>
      </x:c>
      <x:c r="V21" s="98" t="str">
        <x:v>PROJECT_FLOW_AND_DEBT_GUIDE.md:545-591</x:v>
      </x:c>
      <x:c r="W21" s="98" t="str">
        <x:v>SLO/trace/rollback 증적과 08-31 승인</x:v>
      </x:c>
      <x:c r="X21" s="98" t="str">
        <x:v>V-OPS-01,V-REL-01</x:v>
      </x:c>
      <x:c r="Y21" s="98" t="str">
        <x:v>SLO/restore drill</x:v>
      </x:c>
      <x:c r="Z21" s="98" t="str">
        <x:v>authenticated staging</x:v>
      </x:c>
      <x:c r="AA21" s="98" t="str">
        <x:v>deploy 전 SLO/restore 통과</x:v>
      </x:c>
      <x:c r="AB21" s="98" t="str">
        <x:v>evidence://ops-master</x:v>
      </x:c>
      <x:c r="AC21" s="98" t="str">
        <x:v>육은서</x:v>
      </x:c>
      <x:c r="AD21" s="98" t="str">
        <x:v>실패 시 rollback-only</x:v>
      </x:c>
      <x:c r="AE21" s="98" t="str">
        <x:v>릴리스 거버넌스</x:v>
      </x:c>
      <x:c r="AF21" s="98" t="n">
        <x:v>2</x:v>
      </x:c>
      <x:c r="AG21" s="98" t="n">
        <x:v>4</x:v>
      </x:c>
      <x:c r="AH21" s="98" t="str">
        <x:v>문서만으로 복구 가능성 증명 안 됨</x:v>
      </x:c>
      <x:c r="AI21" s="98" t="str">
        <x:v>3 종료</x:v>
      </x:c>
      <x:c r="AJ21" s="98" t="str">
        <x:v>고준영 단독 핵심 경로 금지</x:v>
      </x:c>
    </x:row>
    <x:row r="22" ht="30" customHeight="1">
      <x:c r="A22" s="102" t="str">
        <x:v>Level2</x:v>
      </x:c>
      <x:c r="B22" s="103" t="str">
        <x:v>3.1</x:v>
      </x:c>
      <x:c r="C22" s="111" t="str"/>
      <x:c r="D22" s="111" t="str">
        <x:v>SLO/forward</x:v>
      </x:c>
      <x:c r="E22" s="111" t="str">
        <x:v>관측성·latency SLO·data freshness·forward/paper observation</x:v>
      </x:c>
      <x:c r="F22" s="103" t="str">
        <x:v>윤서준</x:v>
      </x:c>
      <x:c r="G22" s="103" t="str">
        <x:v>고준영</x:v>
      </x:c>
      <x:c r="H22" s="133" t="n">
        <x:f>$O$2+10</x:f>
        <x:v>46256</x:v>
      </x:c>
      <x:c r="I22" s="133" t="n">
        <x:f>$O$2+14</x:f>
        <x:v>46260</x:v>
      </x:c>
      <x:c r="J22" s="133" t="str"/>
      <x:c r="K22" s="133" t="str"/>
      <x:c r="L22" s="134" t="n">
        <x:f>NETWORKDAYS(H22,I22)</x:f>
        <x:v>3</x:v>
      </x:c>
      <x:c r="M22" s="134" t="str">
        <x:f>IF(OR(J22="",K22=""),"",NETWORKDAYS(J22,K22))</x:f>
      </x:c>
      <x:c r="N22" s="141" t="n">
        <x:v>22</x:v>
      </x:c>
      <x:c r="O22" s="103" t="str">
        <x:f>IF($A22&lt;&gt;"Level2","-",IF(F22="","",IF(SUMIFS($N$8:$N$24,$F$8:$F$24,F22,$A$8:$A$24,"Level2")&gt;SUMIF('설정_목록'!$E$4:$E$8,F22,'설정_목록'!$I$4:$I$8),"과부하","정상")))</x:f>
        <x:v>과부하</x:v>
      </x:c>
      <x:c r="P22" s="103" t="str">
        <x:f>IF(AND($A22="Level2",S22="P0",OR(U22="",W22="",X22="",Y22="",Z22="",AA22="",AB22="",AC22="",AD22="",LEFT(AB22,11)="evidence://")),"증적 미완료",IF(R22=1,"완료",IF(OR(J22="",K22=""),"미입력",IF(TODAY()&gt;I22,"지연","정상"))))</x:f>
        <x:v>증적 미완료</x:v>
      </x:c>
      <x:c r="Q22" s="126" t="n">
        <x:f>IF(TODAY()&lt;H22,0,IF(TODAY()&gt;I22,1,(TODAY()-H22+1)/(I22-H22+1)))</x:f>
        <x:v>0</x:v>
      </x:c>
      <x:c r="R22" s="126" t="n">
        <x:v>0</x:v>
      </x:c>
      <x:c r="S22" s="103" t="str">
        <x:v>P0</x:v>
      </x:c>
      <x:c r="T22" s="103" t="str">
        <x:v>R-05</x:v>
      </x:c>
      <x:c r="U22" s="103" t="str">
        <x:v>CLM-P-02,CLM-DEPLOY</x:v>
      </x:c>
      <x:c r="V22" s="103" t="str">
        <x:v>진행상황-문제정의-2.md:181-209</x:v>
      </x:c>
      <x:c r="W22" s="103" t="str">
        <x:v>p50/p95·RSS·비용·freshness SLO·alert·forward 관찰 기준</x:v>
      </x:c>
      <x:c r="X22" s="103" t="str">
        <x:v>V-OPS-01</x:v>
      </x:c>
      <x:c r="Y22" s="103" t="str">
        <x:v>latency/RSS/cost/load·forward/paper observation</x:v>
      </x:c>
      <x:c r="Z22" s="103" t="str">
        <x:v>authenticated staging</x:v>
      </x:c>
      <x:c r="AA22" s="103" t="str">
        <x:v>SLO threshold·alert 기록</x:v>
      </x:c>
      <x:c r="AB22" s="103" t="str">
        <x:v>evidence://P0-10-slo</x:v>
      </x:c>
      <x:c r="AC22" s="103" t="str">
        <x:v>조은채</x:v>
      </x:c>
      <x:c r="AD22" s="103" t="str">
        <x:v>SLO/alert 미검증 시 deploy 금지</x:v>
      </x:c>
      <x:c r="AE22" s="103" t="str">
        <x:v>관측성</x:v>
      </x:c>
      <x:c r="AF22" s="103" t="n">
        <x:v>1</x:v>
      </x:c>
      <x:c r="AG22" s="103" t="n">
        <x:v>4</x:v>
      </x:c>
      <x:c r="AH22" s="103" t="str">
        <x:v>trace만으로 SLO 충족 증명 불가</x:v>
      </x:c>
      <x:c r="AI22" s="103" t="str">
        <x:v>3.1 종료</x:v>
      </x:c>
      <x:c r="AJ22" s="103" t="str">
        <x:v>고준영 백업</x:v>
      </x:c>
    </x:row>
    <x:row r="23" ht="30" customHeight="1">
      <x:c r="A23" s="31" t="str">
        <x:v>Level2</x:v>
      </x:c>
      <x:c r="B23" s="32" t="str">
        <x:v>3.2</x:v>
      </x:c>
      <x:c r="C23" s="112" t="str"/>
      <x:c r="D23" s="112" t="str">
        <x:v>rollback</x:v>
      </x:c>
      <x:c r="E23" s="112" t="str">
        <x:v>migration·restore·rollback 리허설 및 runbook</x:v>
      </x:c>
      <x:c r="F23" s="32" t="str">
        <x:v>윤서준</x:v>
      </x:c>
      <x:c r="G23" s="32" t="str">
        <x:v>고준영</x:v>
      </x:c>
      <x:c r="H23" s="135" t="n">
        <x:f>$O$2+14</x:f>
        <x:v>46260</x:v>
      </x:c>
      <x:c r="I23" s="135" t="n">
        <x:f>$O$2+17</x:f>
        <x:v>46263</x:v>
      </x:c>
      <x:c r="J23" s="135" t="str"/>
      <x:c r="K23" s="135" t="str"/>
      <x:c r="L23" s="136" t="n">
        <x:f>NETWORKDAYS(H23,I23)</x:f>
        <x:v>3</x:v>
      </x:c>
      <x:c r="M23" s="136" t="str">
        <x:f>IF(OR(J23="",K23=""),"",NETWORKDAYS(J23,K23))</x:f>
      </x:c>
      <x:c r="N23" s="142" t="n">
        <x:v>20</x:v>
      </x:c>
      <x:c r="O23" s="32" t="str">
        <x:f>IF($A23&lt;&gt;"Level2","-",IF(F23="","",IF(SUMIFS($N$8:$N$24,$F$8:$F$24,F23,$A$8:$A$24,"Level2")&gt;SUMIF('설정_목록'!$E$4:$E$8,F23,'설정_목록'!$I$4:$I$8),"과부하","정상")))</x:f>
        <x:v>과부하</x:v>
      </x:c>
      <x:c r="P23" s="32" t="str">
        <x:f>IF(AND($A23="Level2",S23="P0",OR(U23="",W23="",X23="",Y23="",Z23="",AA23="",AB23="",AC23="",AD23="",LEFT(AB23,11)="evidence://")),"증적 미완료",IF(R23=1,"완료",IF(OR(J23="",K23=""),"미입력",IF(TODAY()&gt;I23,"지연","정상"))))</x:f>
        <x:v>증적 미완료</x:v>
      </x:c>
      <x:c r="Q23" s="127" t="n">
        <x:f>IF(TODAY()&lt;H23,0,IF(TODAY()&gt;I23,1,(TODAY()-H23+1)/(I23-H23+1)))</x:f>
        <x:v>0</x:v>
      </x:c>
      <x:c r="R23" s="127" t="n">
        <x:v>0</x:v>
      </x:c>
      <x:c r="S23" s="32" t="str">
        <x:v>P0</x:v>
      </x:c>
      <x:c r="T23" s="32" t="str">
        <x:v>R-05</x:v>
      </x:c>
      <x:c r="U23" s="32" t="str">
        <x:v>CLM-D-01,CLM-DEPLOY</x:v>
      </x:c>
      <x:c r="V23" s="32" t="str">
        <x:v>PROJECT_FLOW_AND_DEBT_GUIDE.md:647-679</x:v>
      </x:c>
      <x:c r="W23" s="32" t="str">
        <x:v>migration/restore/rollback 명령 로그·복구 시간·승인 서명</x:v>
      </x:c>
      <x:c r="X23" s="32" t="str">
        <x:v>V-REL-01</x:v>
      </x:c>
      <x:c r="Y23" s="32" t="str">
        <x:v>migration·restore·rollback drill + authenticated smoke</x:v>
      </x:c>
      <x:c r="Z23" s="32" t="str">
        <x:v>08-31 deploy window</x:v>
      </x:c>
      <x:c r="AA23" s="32" t="str">
        <x:v>restore log·RTO·smoke·승인 서명</x:v>
      </x:c>
      <x:c r="AB23" s="32" t="str">
        <x:v>evidence://P0-11-rollback</x:v>
      </x:c>
      <x:c r="AC23" s="32" t="str">
        <x:v>조은채</x:v>
      </x:c>
      <x:c r="AD23" s="32" t="str">
        <x:v>restore 증적 없음은 deploy 반려</x:v>
      </x:c>
      <x:c r="AE23" s="32" t="str">
        <x:v>릴리스 거버넌스</x:v>
      </x:c>
      <x:c r="AF23" s="32" t="n">
        <x:v>2</x:v>
      </x:c>
      <x:c r="AG23" s="32" t="n">
        <x:v>4</x:v>
      </x:c>
      <x:c r="AH23" s="32" t="str">
        <x:v>문서만으로 복구 가능성 증명 안 됨</x:v>
      </x:c>
      <x:c r="AI23" s="32" t="str">
        <x:v>3.2 종료</x:v>
      </x:c>
      <x:c r="AJ23" s="33" t="str">
        <x:v>고준영 백업</x:v>
      </x:c>
    </x:row>
    <x:row r="24" ht="30" customHeight="1">
      <x:c r="A24" s="107" t="str">
        <x:v>Level2</x:v>
      </x:c>
      <x:c r="B24" s="108" t="str">
        <x:v>3.3</x:v>
      </x:c>
      <x:c r="C24" s="113" t="str"/>
      <x:c r="D24" s="113" t="str">
        <x:v>08-31 배포</x:v>
      </x:c>
      <x:c r="E24" s="113" t="str">
        <x:v>배포·인증 smoke·rollback readiness 실행(신규 개발 금지)</x:v>
      </x:c>
      <x:c r="F24" s="108" t="str">
        <x:v>윤서준</x:v>
      </x:c>
      <x:c r="G24" s="108" t="str">
        <x:v>고준영</x:v>
      </x:c>
      <x:c r="H24" s="137" t="n">
        <x:f>$O$2+19</x:f>
        <x:v>46265</x:v>
      </x:c>
      <x:c r="I24" s="137" t="n">
        <x:f>$O$2+19</x:f>
        <x:v>46265</x:v>
      </x:c>
      <x:c r="J24" s="137" t="str"/>
      <x:c r="K24" s="137" t="str"/>
      <x:c r="L24" s="138" t="n">
        <x:f>NETWORKDAYS(H24,I24)</x:f>
        <x:v>1</x:v>
      </x:c>
      <x:c r="M24" s="138" t="str">
        <x:f>IF(OR(J24="",K24=""),"",NETWORKDAYS(J24,K24))</x:f>
      </x:c>
      <x:c r="N24" s="143" t="n">
        <x:v>12</x:v>
      </x:c>
      <x:c r="O24" s="108" t="str">
        <x:f>IF($A24&lt;&gt;"Level2","-",IF(F24="","",IF(SUMIFS($N$8:$N$24,$F$8:$F$24,F24,$A$8:$A$24,"Level2")&gt;SUMIF('설정_목록'!$E$4:$E$8,F24,'설정_목록'!$I$4:$I$8),"과부하","정상")))</x:f>
        <x:v>과부하</x:v>
      </x:c>
      <x:c r="P24" s="108" t="str">
        <x:f>IF(AND($A24="Level2",S24="P0",OR(U24="",W24="",X24="",Y24="",Z24="",AA24="",AB24="",AC24="",AD24="",LEFT(AB24,11)="evidence://")),"증적 미완료",IF(R24=1,"완료",IF(OR(J24="",K24=""),"미입력",IF(TODAY()&gt;I24,"지연","정상"))))</x:f>
        <x:v>증적 미완료</x:v>
      </x:c>
      <x:c r="Q24" s="128" t="n">
        <x:f>IF(TODAY()&lt;H24,0,IF(TODAY()&gt;I24,1,(TODAY()-H24+1)/(I24-H24+1)))</x:f>
        <x:v>0</x:v>
      </x:c>
      <x:c r="R24" s="128" t="n">
        <x:v>0</x:v>
      </x:c>
      <x:c r="S24" s="108" t="str">
        <x:v>P0</x:v>
      </x:c>
      <x:c r="T24" s="108" t="str">
        <x:v>R-05</x:v>
      </x:c>
      <x:c r="U24" s="108" t="str">
        <x:v>CLM-DEPLOY</x:v>
      </x:c>
      <x:c r="V24" s="108" t="str">
        <x:v>README.md:48-73</x:v>
      </x:c>
      <x:c r="W24" s="108" t="str">
        <x:v>08-31 배포 로그·authenticated smoke·rollback readiness·최종 승인</x:v>
      </x:c>
      <x:c r="X24" s="108" t="str">
        <x:v>V-REL-01</x:v>
      </x:c>
      <x:c r="Y24" s="108" t="str">
        <x:v>authenticated smoke + rollback readiness</x:v>
      </x:c>
      <x:c r="Z24" s="108" t="str">
        <x:v>08-31 deploy window</x:v>
      </x:c>
      <x:c r="AA24" s="108" t="str">
        <x:v>smoke·rollback readiness 100%</x:v>
      </x:c>
      <x:c r="AB24" s="108" t="str">
        <x:v>evidence://D-01-deploy</x:v>
      </x:c>
      <x:c r="AC24" s="108" t="str">
        <x:v>육은서</x:v>
      </x:c>
      <x:c r="AD24" s="108" t="str">
        <x:v>신규 기능 배포/실패는 즉시 rollback</x:v>
      </x:c>
      <x:c r="AE24" s="108" t="str">
        <x:v>릴리스 거버넌스</x:v>
      </x:c>
      <x:c r="AF24" s="108" t="n">
        <x:v>2</x:v>
      </x:c>
      <x:c r="AG24" s="108" t="n">
        <x:v>4</x:v>
      </x:c>
      <x:c r="AH24" s="108" t="str">
        <x:v>Open: 실제 운영 권한</x:v>
      </x:c>
      <x:c r="AI24" s="108" t="str">
        <x:v>2026-08-31</x:v>
      </x:c>
      <x:c r="AJ24" s="108" t="str">
        <x:v>배포 전용; 개발 금지</x:v>
      </x:c>
    </x:row>
  </x:sheetData>
  <x:mergeCells>
    <x:mergeCell ref="A2:G2"/>
    <x:mergeCell ref="I2:L2"/>
    <x:mergeCell ref="O2:P2"/>
    <x:mergeCell ref="S2:U2"/>
    <x:mergeCell ref="X2:Y2"/>
    <x:mergeCell ref="AB2:AC2"/>
    <x:mergeCell ref="A4:C4"/>
    <x:mergeCell ref="D4:E4"/>
    <x:mergeCell ref="G4:I4"/>
    <x:mergeCell ref="J4:K4"/>
    <x:mergeCell ref="M4:O4"/>
    <x:mergeCell ref="P4:Q4"/>
    <x:mergeCell ref="S4:U4"/>
    <x:mergeCell ref="V4:W4"/>
  </x:mergeCells>
  <x:conditionalFormatting sqref="O8:O24">
    <x:cfRule type="containsText" dxfId="1" priority="1" operator="containsText" text="과부하"/>
  </x:conditionalFormatting>
  <x:conditionalFormatting sqref="P8:P24">
    <x:cfRule type="containsText" dxfId="2" priority="2" operator="containsText" text="증적 미완료"/>
    <x:cfRule type="containsText" dxfId="3" priority="3" operator="containsText" text="지연"/>
    <x:cfRule type="containsText" dxfId="4" priority="4" operator="containsText" text="완료"/>
  </x:conditionalFormatting>
  <x:conditionalFormatting sqref="AB8:AB24">
    <x:cfRule type="expression" dxfId="5" priority="5">
      <x:formula>AND($S8="P0",OR($U8="",$W8="",$X8="",$Y8="",$Z8="",$AA8="",$AB8="",$AC8="",$AD8="",LEFT($AB8,11)="evidence://"))</x:formula>
    </x:cfRule>
  </x:conditionalFormatting>
  <x:conditionalFormatting sqref="I8:I24">
    <x:cfRule type="expression" dxfId="6" priority="6">
      <x:formula>AND($I8=$X$2,$AJ8&lt;&gt;"배포 전용; 개발 금지")</x:formula>
    </x:cfRule>
  </x:conditionalFormatting>
  <x:conditionalFormatting sqref="F8:F24">
    <x:cfRule type="expression" dxfId="7" priority="7">
      <x:formula>AND($F8="고준영",$A8="Level2",OR($D8="E2E",$D8="rollback",$D8="08-31 배포"))</x:formula>
    </x:cfRule>
  </x:conditionalFormatting>
  <x:dataValidations count="3">
    <x:dataValidation type="list" sqref="S8:S24">
      <x:formula1>'설정_목록'!$B$4:$B$6</x:formula1>
    </x:dataValidation>
    <x:dataValidation type="list" sqref="T8:T24">
      <x:formula1>'설정_목록'!$C$4:$C$6</x:formula1>
    </x:dataValidation>
    <x:dataValidation type="list" sqref="AC8:AC24">
      <x:formula1>'설정_목록'!$L$4:$L$8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83c9d606004ae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4" hidden="0" customWidth="1"/>
    <x:col min="5" max="5" width="13" hidden="0" customWidth="1"/>
    <x:col min="6" max="6" width="28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14" hidden="0" customWidth="1"/>
    <x:col min="12" max="12" width="14" hidden="0" customWidth="1"/>
    <x:col min="13" max="13" width="14" hidden="0" customWidth="1"/>
    <x:col min="14" max="14" width="30" hidden="0" customWidth="1"/>
  </x:cols>
  <x:sheetData>
    <x:row r="1" ht="28" customHeight="1">
      <x:c r="A1" s="2" t="str">
        <x:v>QuantAgent WBS_MASTER — 설정·드롭다운 원본</x:v>
      </x:c>
    </x:row>
    <x:row r="3" ht="34" customHeight="1">
      <x:c r="A3" s="8" t="str">
        <x:v>상태 목록</x:v>
      </x:c>
      <x:c r="B3" s="8" t="str">
        <x:v>우선순위 목록</x:v>
      </x:c>
      <x:c r="C3" s="8" t="str">
        <x:v>위험도 목록</x:v>
      </x:c>
      <x:c r="E3" s="8" t="str">
        <x:v>구성원</x:v>
      </x:c>
      <x:c r="F3" s="8" t="str">
        <x:v>주 담당</x:v>
      </x:c>
      <x:c r="G3" s="8" t="str">
        <x:v>백업</x:v>
      </x:c>
      <x:c r="H3" s="8" t="str">
        <x:v>주간 용량(h)</x:v>
      </x:c>
      <x:c r="I3" s="8" t="str">
        <x:v>개발 창 용량(h)</x:v>
      </x:c>
      <x:c r="J3" s="8" t="str">
        <x:v>배정시간(h)</x:v>
      </x:c>
      <x:c r="K3" s="8" t="str">
        <x:v>용량 판정</x:v>
      </x:c>
      <x:c r="L3" s="8" t="str">
        <x:v>승인 결과</x:v>
      </x:c>
      <x:c r="M3" s="8" t="str">
        <x:v>Email 범위</x:v>
      </x:c>
      <x:c r="N3" s="8" t="str">
        <x:v>고정 일정</x:v>
      </x:c>
    </x:row>
    <x:row r="4">
      <x:c r="A4" s="28" t="str">
        <x:v>미착수</x:v>
      </x:c>
      <x:c r="B4" s="29" t="str">
        <x:v>P0</x:v>
      </x:c>
      <x:c r="C4" s="30" t="str">
        <x:v>낮음</x:v>
      </x:c>
      <x:c r="E4" s="28" t="str">
        <x:v>육은서</x:v>
      </x:c>
      <x:c r="F4" s="29" t="str">
        <x:v>PM·릴리스·AI/Quant</x:v>
      </x:c>
      <x:c r="G4" s="29" t="str">
        <x:v>윤서준</x:v>
      </x:c>
      <x:c r="H4" s="37" t="n">
        <x:v>25</x:v>
      </x:c>
      <x:c r="I4" s="43" t="n">
        <x:f>H4*3</x:f>
        <x:v>75</x:v>
      </x:c>
      <x:c r="J4" s="43" t="n">
        <x:f>SUMIFS('WBS_MASTER'!$N$8:$N$24,'WBS_MASTER'!$F$8:$F$24,E4,'WBS_MASTER'!$A$8:$A$24,"Level2")</x:f>
        <x:v>50</x:v>
      </x:c>
      <x:c r="K4" s="30" t="str">
        <x:f>IF(J4&gt;I4,"과부하","정상")</x:f>
        <x:v>정상</x:v>
      </x:c>
      <x:c r="L4" s="28" t="str">
        <x:v>미승인</x:v>
      </x:c>
      <x:c r="M4" s="29" t="str">
        <x:v>DEFER</x:v>
      </x:c>
      <x:c r="N4" s="30" t="str">
        <x:v>개발 2026-08-12~2026-08-30</x:v>
      </x:c>
    </x:row>
    <x:row r="5">
      <x:c r="A5" s="31" t="str">
        <x:v>진행 중</x:v>
      </x:c>
      <x:c r="B5" s="32" t="str">
        <x:v>P1</x:v>
      </x:c>
      <x:c r="C5" s="33" t="str">
        <x:v>중간</x:v>
      </x:c>
      <x:c r="E5" s="31" t="str">
        <x:v>윤서준</x:v>
      </x:c>
      <x:c r="F5" s="32" t="str">
        <x:v>BE·플랫폼·FE</x:v>
      </x:c>
      <x:c r="G5" s="32" t="str">
        <x:v>고준영</x:v>
      </x:c>
      <x:c r="H5" s="38" t="n">
        <x:v>35</x:v>
      </x:c>
      <x:c r="I5" s="44" t="n">
        <x:f>H5*3</x:f>
        <x:v>105</x:v>
      </x:c>
      <x:c r="J5" s="44" t="n">
        <x:f>SUMIFS('WBS_MASTER'!$N$8:$N$24,'WBS_MASTER'!$F$8:$F$24,E5,'WBS_MASTER'!$A$8:$A$24,"Level2")</x:f>
        <x:v>144</x:v>
      </x:c>
      <x:c r="K5" s="33" t="str">
        <x:f>IF(J5&gt;I5,"과부하","정상")</x:f>
        <x:v>과부하</x:v>
      </x:c>
      <x:c r="L5" s="31" t="str">
        <x:v>QA 승인</x:v>
      </x:c>
      <x:c r="M5" s="32" t="str">
        <x:v>INCLUDE</x:v>
      </x:c>
      <x:c r="N5" s="33" t="str">
        <x:v>배포/rollback 2026-08-31</x:v>
      </x:c>
    </x:row>
    <x:row r="6">
      <x:c r="A6" s="31" t="str">
        <x:v>차단</x:v>
      </x:c>
      <x:c r="B6" s="32" t="str">
        <x:v>P2</x:v>
      </x:c>
      <x:c r="C6" s="33" t="str">
        <x:v>높음</x:v>
      </x:c>
      <x:c r="E6" s="31" t="str">
        <x:v>윤민호</x:v>
      </x:c>
      <x:c r="F6" s="32" t="str">
        <x:v>DE·PIT·Lineage</x:v>
      </x:c>
      <x:c r="G6" s="32" t="str">
        <x:v>조은채</x:v>
      </x:c>
      <x:c r="H6" s="38" t="n">
        <x:v>35</x:v>
      </x:c>
      <x:c r="I6" s="44" t="n">
        <x:f>H6*3</x:f>
        <x:v>105</x:v>
      </x:c>
      <x:c r="J6" s="44" t="n">
        <x:f>SUMIFS('WBS_MASTER'!$N$8:$N$24,'WBS_MASTER'!$F$8:$F$24,E6,'WBS_MASTER'!$A$8:$A$24,"Level2")</x:f>
        <x:v>40</x:v>
      </x:c>
      <x:c r="K6" s="33" t="str">
        <x:f>IF(J6&gt;I6,"과부하","정상")</x:f>
        <x:v>정상</x:v>
      </x:c>
      <x:c r="L6" s="31" t="str">
        <x:v>PM 승인</x:v>
      </x:c>
      <x:c r="M6" s="32"/>
      <x:c r="N6" s="33" t="str">
        <x:v>08-31 신규 개발 금지</x:v>
      </x:c>
    </x:row>
    <x:row r="7">
      <x:c r="A7" s="31" t="str">
        <x:v>완료</x:v>
      </x:c>
      <x:c r="B7" s="32"/>
      <x:c r="C7" s="33"/>
      <x:c r="E7" s="31" t="str">
        <x:v>조은채</x:v>
      </x:c>
      <x:c r="F7" s="32" t="str">
        <x:v>QA·수용 증적</x:v>
      </x:c>
      <x:c r="G7" s="32" t="str">
        <x:v>윤민호</x:v>
      </x:c>
      <x:c r="H7" s="38" t="n">
        <x:v>35</x:v>
      </x:c>
      <x:c r="I7" s="44" t="n">
        <x:f>H7*3</x:f>
        <x:v>105</x:v>
      </x:c>
      <x:c r="J7" s="44" t="n">
        <x:f>SUMIFS('WBS_MASTER'!$N$8:$N$24,'WBS_MASTER'!$F$8:$F$24,E7,'WBS_MASTER'!$A$8:$A$24,"Level2")</x:f>
        <x:v>18</x:v>
      </x:c>
      <x:c r="K7" s="33" t="str">
        <x:f>IF(J7&gt;I7,"과부하","정상")</x:f>
        <x:v>정상</x:v>
      </x:c>
      <x:c r="L7" s="31" t="str">
        <x:v>위험 수용</x:v>
      </x:c>
      <x:c r="M7" s="32"/>
      <x:c r="N7" s="33"/>
    </x:row>
    <x:row r="8">
      <x:c r="A8" s="34" t="str">
        <x:v>보류</x:v>
      </x:c>
      <x:c r="B8" s="35"/>
      <x:c r="C8" s="36"/>
      <x:c r="E8" s="34" t="str">
        <x:v>고준영</x:v>
      </x:c>
      <x:c r="F8" s="35" t="str">
        <x:v>SRE·배포·롤백</x:v>
      </x:c>
      <x:c r="G8" s="35" t="str">
        <x:v>윤서준</x:v>
      </x:c>
      <x:c r="H8" s="39" t="n">
        <x:v>5</x:v>
      </x:c>
      <x:c r="I8" s="45" t="n">
        <x:f>H8*3</x:f>
        <x:v>15</x:v>
      </x:c>
      <x:c r="J8" s="45" t="n">
        <x:f>SUMIFS('WBS_MASTER'!$N$8:$N$24,'WBS_MASTER'!$F$8:$F$24,E8,'WBS_MASTER'!$A$8:$A$24,"Level2")</x:f>
        <x:v>0</x:v>
      </x:c>
      <x:c r="K8" s="36" t="str">
        <x:f>IF(J8&gt;I8,"과부하","정상")</x:f>
        <x:v>정상</x:v>
      </x:c>
      <x:c r="L8" s="34" t="str">
        <x:v>반려</x:v>
      </x:c>
      <x:c r="M8" s="35"/>
      <x:c r="N8" s="36"/>
    </x:row>
    <x:row r="11">
      <x:c r="A11" s="48" t="str">
        <x:v>용량 규칙: 윤서준 과부하는 빨강 경고. 고준영은 5h/주(개발 창 15h)이며 비핵심·대체 가능한 작업만 허용; 핵심 경로 단독 책임 시 빨강 경고.</x:v>
      </x:c>
    </x:row>
  </x:sheetData>
  <x:mergeCells>
    <x:mergeCell ref="A1:J1"/>
    <x:mergeCell ref="A11:N11"/>
  </x:mergeCells>
  <x:conditionalFormatting sqref="K4:K8">
    <x:cfRule type="containsText" dxfId="0" priority="1" operator="containsText" text="과부하"/>
  </x:conditionalFormatting>
  <x:pageMargins left="0.7" right="0.7" top="0.75" bottom="0.75" header="0.3" footer="0.3"/>
</x:worksheet>
</file>