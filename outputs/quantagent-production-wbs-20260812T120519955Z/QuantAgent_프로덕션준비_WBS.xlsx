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6b489e4744a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bb4c6cbdefa04d9d"/>
    <x:sheet xmlns:r="http://schemas.openxmlformats.org/officeDocument/2006/relationships" name="WBS" sheetId="2" r:id="R4fa4fc5d4fb34d8d"/>
    <x:sheet xmlns:r="http://schemas.openxmlformats.org/officeDocument/2006/relationships" name="Milestones" sheetId="3" r:id="R85502f0baf444777"/>
    <x:sheet xmlns:r="http://schemas.openxmlformats.org/officeDocument/2006/relationships" name="Risks" sheetId="4" r:id="R4786d628ada448ba"/>
    <x:sheet xmlns:r="http://schemas.openxmlformats.org/officeDocument/2006/relationships" name="Traceability" sheetId="5" r:id="Rf5f0e5ffcb914c36"/>
    <x:sheet xmlns:r="http://schemas.openxmlformats.org/officeDocument/2006/relationships" name="Maturity" sheetId="6" r:id="R506bd8f0ce1a4458"/>
    <x:sheet xmlns:r="http://schemas.openxmlformats.org/officeDocument/2006/relationships" name="Verification" sheetId="7" r:id="R0325f07e6f2b4f31"/>
    <x:sheet xmlns:r="http://schemas.openxmlformats.org/officeDocument/2006/relationships" name="README" sheetId="8" r:id="R0bf893b74e6444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.0"/>
    <x:numFmt numFmtId="203" formatCode="0.0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F4E5A"/>
      <x:name val="Carlito"/>
    </x:font>
    <x:font>
      <x:b/>
      <x:sz val="10"/>
      <x:color rgb="FFFFFFFF"/>
      <x:name val="Carlito"/>
    </x:font>
    <x:font>
      <x:sz val="10"/>
      <x:color rgb="FF000000"/>
      <x:name val="Carlito"/>
    </x:font>
    <x:font>
      <x:sz val="10"/>
      <x:color rgb="FF0000FF"/>
      <x:name val="Carlito"/>
    </x:font>
    <x:font>
      <x:sz val="10"/>
      <x:color rgb="FF008000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E7EDF4"/>
      </x:right>
      <x:bottom style="thin">
        <x:color rgb="FFE7EDF4"/>
      </x:bottom>
    </x:border>
    <x:border>
      <x:left style="thin">
        <x:color rgb="FFE7EDF4"/>
      </x:left>
      <x:right style="thin">
        <x:color rgb="FFE7EDF4"/>
      </x:right>
      <x:bottom style="thin">
        <x:color rgb="FFE7EDF4"/>
      </x:bottom>
    </x:border>
    <x:border>
      <x:left style="thin">
        <x:color rgb="FFE7EDF4"/>
      </x:left>
      <x:bottom style="thin">
        <x:color rgb="FFE7EDF4"/>
      </x:bottom>
    </x:border>
    <x:border>
      <x:right style="thin">
        <x:color rgb="FFE7EDF4"/>
      </x:right>
      <x:top style="thin">
        <x:color rgb="FFE7EDF4"/>
      </x:top>
      <x:bottom style="thin">
        <x:color rgb="FFE7EDF4"/>
      </x:bottom>
    </x:border>
    <x:border>
      <x:left style="thin">
        <x:color rgb="FFE7EDF4"/>
      </x:left>
      <x:right style="thin">
        <x:color rgb="FFE7EDF4"/>
      </x:right>
      <x:top style="thin">
        <x:color rgb="FFE7EDF4"/>
      </x:top>
      <x:bottom style="thin">
        <x:color rgb="FFE7EDF4"/>
      </x:bottom>
    </x:border>
    <x:border>
      <x:left style="thin">
        <x:color rgb="FFE7EDF4"/>
      </x:left>
      <x:top style="thin">
        <x:color rgb="FFE7EDF4"/>
      </x:top>
      <x:bottom style="thin">
        <x:color rgb="FFE7EDF4"/>
      </x:bottom>
    </x:border>
    <x:border>
      <x:right style="thin">
        <x:color rgb="FFE7EDF4"/>
      </x:right>
      <x:top style="thin">
        <x:color rgb="FFE7EDF4"/>
      </x:top>
    </x:border>
    <x:border>
      <x:left style="thin">
        <x:color rgb="FFE7EDF4"/>
      </x:left>
      <x:right style="thin">
        <x:color rgb="FFE7EDF4"/>
      </x:right>
      <x:top style="thin">
        <x:color rgb="FFE7EDF4"/>
      </x:top>
    </x:border>
    <x:border>
      <x:left style="thin">
        <x:color rgb="FFE7EDF4"/>
      </x:left>
      <x:top style="thin">
        <x:color rgb="FFE7EDF4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2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200" fontId="4" fillId="0" borderId="5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200" fontId="4" fillId="0" borderId="5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201" fontId="5" fillId="0" borderId="5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2" fontId="4" fillId="0" borderId="8" xfId="0" applyNumberFormat="1" applyFont="1" applyFill="1" applyBorder="1" applyAlignment="1">
      <x:alignment vertical="top" wrapText="1"/>
    </x:xf>
    <x:xf numFmtId="202" fontId="6" fillId="0" borderId="2" xfId="0" applyNumberFormat="1" applyFont="1" applyFill="1" applyBorder="1" applyAlignment="1">
      <x:alignment vertical="top" wrapText="1"/>
    </x:xf>
    <x:xf numFmtId="202" fontId="6" fillId="0" borderId="5" xfId="0" applyNumberFormat="1" applyFont="1" applyFill="1" applyBorder="1" applyAlignment="1">
      <x:alignment vertical="top" wrapText="1"/>
    </x:xf>
    <x:xf numFmtId="202" fontId="6" fillId="0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200" fontId="4" fillId="0" borderId="8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200" fontId="6" fillId="0" borderId="5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200" fontId="6" fillId="0" borderId="8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203" fontId="4" fillId="0" borderId="2" xfId="0" applyNumberFormat="1" applyFont="1" applyFill="1" applyBorder="1" applyAlignment="1">
      <x:alignment vertical="top" wrapText="1"/>
    </x:xf>
    <x:xf numFmtId="203" fontId="4" fillId="0" borderId="5" xfId="0" applyNumberFormat="1" applyFont="1" applyFill="1" applyBorder="1" applyAlignment="1">
      <x:alignment vertical="top" wrapText="1"/>
    </x:xf>
    <x:xf numFmtId="203" fontId="4" fillId="0" borderId="8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313c95b0514b0c" /><Relationship Type="http://schemas.openxmlformats.org/officeDocument/2006/relationships/theme" Target="/xl/theme/theme1.xml" Id="R4bd8daddf4f14c52" /><Relationship Type="http://schemas.openxmlformats.org/officeDocument/2006/relationships/sharedStrings" Target="/xl/sharedStrings.xml" Id="R29051e91a4194bc1" /><Relationship Type="http://schemas.openxmlformats.org/officeDocument/2006/relationships/worksheet" Target="/xl/worksheets/sheet1.xml" Id="Rbb4c6cbdefa04d9d" /><Relationship Type="http://schemas.openxmlformats.org/officeDocument/2006/relationships/worksheet" Target="/xl/worksheets/sheet2.xml" Id="R4fa4fc5d4fb34d8d" /><Relationship Type="http://schemas.openxmlformats.org/officeDocument/2006/relationships/worksheet" Target="/xl/worksheets/sheet3.xml" Id="R85502f0baf444777" /><Relationship Type="http://schemas.openxmlformats.org/officeDocument/2006/relationships/worksheet" Target="/xl/worksheets/sheet4.xml" Id="R4786d628ada448ba" /><Relationship Type="http://schemas.openxmlformats.org/officeDocument/2006/relationships/worksheet" Target="/xl/worksheets/sheet5.xml" Id="Rf5f0e5ffcb914c36" /><Relationship Type="http://schemas.openxmlformats.org/officeDocument/2006/relationships/worksheet" Target="/xl/worksheets/sheet6.xml" Id="R506bd8f0ce1a4458" /><Relationship Type="http://schemas.openxmlformats.org/officeDocument/2006/relationships/worksheet" Target="/xl/worksheets/sheet7.xml" Id="R0325f07e6f2b4f31" /><Relationship Type="http://schemas.openxmlformats.org/officeDocument/2006/relationships/worksheet" Target="/xl/worksheets/sheet8.xml" Id="R0bf893b74e6444e0" /></Relationships>
</file>

<file path=xl/tables/table1.xml><?xml version="1.0" encoding="utf-8"?>
<x:table xmlns:x="http://schemas.openxmlformats.org/spreadsheetml/2006/main" id="1" name="ProductionWBS" displayName="ProductionWBS" ref="A4:R19" headerRowCount="1" totalsRowCount="0" totalsRowShown="0">
  <x:tableColumns count="18">
    <x:tableColumn id="1" name="ID"/>
    <x:tableColumn id="2" name="단계"/>
    <x:tableColumn id="3" name="작업"/>
    <x:tableColumn id="4" name="주 담당"/>
    <x:tableColumn id="5" name="백업"/>
    <x:tableColumn id="6" name="시작일"/>
    <x:tableColumn id="7" name="종료일"/>
    <x:tableColumn id="8" name="기간(영업일)"/>
    <x:tableColumn id="9" name="선행"/>
    <x:tableColumn id="10" name="상태"/>
    <x:tableColumn id="11" name="우선"/>
    <x:tableColumn id="12" name="Risk ID"/>
    <x:tableColumn id="13" name="Claim ID"/>
    <x:tableColumn id="14" name="수용 기준"/>
    <x:tableColumn id="15" name="증적 URI / 해시"/>
    <x:tableColumn id="16" name="승인자"/>
    <x:tableColumn id="17" name="실패 / 롤백 조건"/>
    <x:tableColumn id="18" name="배정시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lestones" displayName="Milestones" ref="A4:J9" headerRowCount="1" totalsRowCount="0" totalsRowShown="0">
  <x:tableColumns count="10">
    <x:tableColumn id="1" name="마일스톤"/>
    <x:tableColumn id="2" name="목표일"/>
    <x:tableColumn id="3" name="선행"/>
    <x:tableColumn id="4" name="책임자"/>
    <x:tableColumn id="5" name="수용 조건"/>
    <x:tableColumn id="6" name="증적 URI"/>
    <x:tableColumn id="7" name="승인자"/>
    <x:tableColumn id="8" name="실패 시 결정"/>
    <x:tableColumn id="9" name="상태"/>
    <x:tableColumn id="10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s" displayName="Risks" ref="A4:K10" headerRowCount="1" totalsRowCount="0" totalsRowShown="0">
  <x:tableColumns count="11">
    <x:tableColumn id="1" name="Risk ID"/>
    <x:tableColumn id="2" name="위험 / Trigger"/>
    <x:tableColumn id="3" name="가능성"/>
    <x:tableColumn id="4" name="영향"/>
    <x:tableColumn id="5" name="점수"/>
    <x:tableColumn id="6" name="등급"/>
    <x:tableColumn id="7" name="담당"/>
    <x:tableColumn id="8" name="완화·결정"/>
    <x:tableColumn id="9" name="연결 P0"/>
    <x:tableColumn id="10" name="검토"/>
    <x:tableColumn id="11" name="상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ceability" displayName="Traceability" ref="A4:K9" headerRowCount="1" totalsRowCount="0" totalsRowShown="0">
  <x:tableColumns count="11">
    <x:tableColumn id="1" name="Claim ID"/>
    <x:tableColumn id="2" name="WBS"/>
    <x:tableColumn id="3" name="출처·라인"/>
    <x:tableColumn id="4" name="주장 / 적용 한계"/>
    <x:tableColumn id="5" name="반대 근거 / 상태"/>
    <x:tableColumn id="6" name="증적 URI·해시"/>
    <x:tableColumn id="7" name="데이터셋/스냅샷"/>
    <x:tableColumn id="8" name="관찰일/commit"/>
    <x:tableColumn id="9" name="신뢰도"/>
    <x:tableColumn id="10" name="Owner"/>
    <x:tableColumn id="11" name="결정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turity" displayName="Maturity" ref="A4:I12" headerRowCount="1" totalsRowCount="0" totalsRowShown="0">
  <x:tableColumns count="9">
    <x:tableColumn id="1" name="성숙도 축"/>
    <x:tableColumn id="2" name="현재"/>
    <x:tableColumn id="3" name="목표"/>
    <x:tableColumn id="4" name="Gap"/>
    <x:tableColumn id="5" name="근거/비교 기준"/>
    <x:tableColumn id="6" name="반대 주장·한계"/>
    <x:tableColumn id="7" name="WBS"/>
    <x:tableColumn id="8" name="재평가 증적"/>
    <x:tableColumn id="9" name="상태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erification" displayName="Verification" ref="A4:L10" headerRowCount="1" totalsRowCount="0" totalsRowShown="0">
  <x:tableColumns count="12">
    <x:tableColumn id="1" name="Verification ID"/>
    <x:tableColumn id="2" name="WBS"/>
    <x:tableColumn id="3" name="검증 방법/명령"/>
    <x:tableColumn id="4" name="환경"/>
    <x:tableColumn id="5" name="통과 임계값"/>
    <x:tableColumn id="6" name="증적 URI"/>
    <x:tableColumn id="7" name="승인자"/>
    <x:tableColumn id="8" name="실패 조건"/>
    <x:tableColumn id="9" name="Rollback 조건"/>
    <x:tableColumn id="10" name="Claim ID"/>
    <x:tableColumn id="11" name="상태"/>
    <x:tableColumn id="12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dcd940482e47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13fff0646941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8d0eb19f7742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e8e9f236a343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d51d2f5a0040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3c4ed836d14c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57" hidden="0" customWidth="1"/>
    <x:col min="4" max="4" width="15" hidden="0" customWidth="1"/>
    <x:col min="5" max="5" width="4" hidden="0" customWidth="1"/>
    <x:col min="6" max="6" width="14" hidden="0" customWidth="1"/>
    <x:col min="7" max="7" width="27" hidden="0" customWidth="1"/>
    <x:col min="8" max="8" width="18" hidden="0" customWidth="1"/>
    <x:col min="9" max="9" width="19" hidden="0" customWidth="1"/>
    <x:col min="10" max="10" width="15" hidden="0" customWidth="1"/>
    <x:col min="11" max="11" width="13" hidden="0" customWidth="1"/>
  </x:cols>
  <x:sheetData>
    <x:row r="1" ht="30" customHeight="1">
      <x:c r="A1" s="3" t="str">
        <x:v>QuantAgent 프로덕션 준비 WBS — 설정</x:v>
      </x:c>
    </x:row>
    <x:row r="2" ht="28" customHeight="1">
      <x:c r="A2" s="6" t="str">
        <x:v>고정 일정: 개발 2026-08-12~2026-08-30, 2026-08-31은 배포·롤백 리허설 전용. 파란색 셀은 인력 용량 및 운영 임계값 조정 입력입니다.</x:v>
      </x:c>
    </x:row>
    <x:row r="4" ht="30" customHeight="1">
      <x:c r="A4" s="11" t="str">
        <x:v>일정·정책 설정</x:v>
      </x:c>
      <x:c r="B4" s="11" t="str">
        <x:v>값</x:v>
      </x:c>
      <x:c r="C4" s="11" t="str">
        <x:v>설명</x:v>
      </x:c>
      <x:c r="D4" s="11" t="str">
        <x:v>상태</x:v>
      </x:c>
      <x:c r="F4" s="11" t="str">
        <x:v>구성원</x:v>
      </x:c>
      <x:c r="G4" s="11" t="str">
        <x:v>주 담당</x:v>
      </x:c>
      <x:c r="H4" s="11" t="str">
        <x:v>백업/겸임</x:v>
      </x:c>
      <x:c r="I4" s="11" t="str">
        <x:v>개발 창 용량(시간)</x:v>
      </x:c>
      <x:c r="J4" s="11" t="str">
        <x:v>배정시간</x:v>
      </x:c>
      <x:c r="K4" s="11" t="str">
        <x:v>용량 판정</x:v>
      </x:c>
    </x:row>
    <x:row r="5">
      <x:c r="A5" s="37" t="str">
        <x:v>개발 시작일</x:v>
      </x:c>
      <x:c r="B5" s="38" t="n">
        <x:v>46246</x:v>
      </x:c>
      <x:c r="C5" s="39" t="str">
        <x:v>고정 개발 창 시작</x:v>
      </x:c>
      <x:c r="D5" s="40" t="str">
        <x:v>고정</x:v>
      </x:c>
      <x:c r="F5" s="37" t="str">
        <x:v>육은서</x:v>
      </x:c>
      <x:c r="G5" s="39" t="str">
        <x:v>PM/릴리스·AI/Quant</x:v>
      </x:c>
      <x:c r="H5" s="39" t="str">
        <x:v>윤서준</x:v>
      </x:c>
      <x:c r="I5" s="53" t="n">
        <x:f>NETWORKDAYS($B$5,$B$6)*$B$9*$B$8</x:f>
        <x:v>72.8</x:v>
      </x:c>
      <x:c r="J5" s="53" t="n">
        <x:f>SUMIF('WBS'!$D$5:$D$19,F5,'WBS'!$R$5:$R$19)</x:f>
        <x:v>64</x:v>
      </x:c>
      <x:c r="K5" s="40" t="str">
        <x:f>IF(J5&gt;I5,"과부하","정상")</x:f>
        <x:v>정상</x:v>
      </x:c>
    </x:row>
    <x:row r="6">
      <x:c r="A6" s="41" t="str">
        <x:v>개발 종료일</x:v>
      </x:c>
      <x:c r="B6" s="42" t="n">
        <x:v>46264</x:v>
      </x:c>
      <x:c r="C6" s="43" t="str">
        <x:v>개발·검증 완료 마감</x:v>
      </x:c>
      <x:c r="D6" s="44" t="str">
        <x:v>고정</x:v>
      </x:c>
      <x:c r="F6" s="41" t="str">
        <x:v>윤서준</x:v>
      </x:c>
      <x:c r="G6" s="43" t="str">
        <x:v>BE·플랫폼·FE</x:v>
      </x:c>
      <x:c r="H6" s="43" t="str">
        <x:v>고준영</x:v>
      </x:c>
      <x:c r="I6" s="54" t="n">
        <x:f>NETWORKDAYS($B$5,$B$6)*$B$9*$B$8</x:f>
        <x:v>72.8</x:v>
      </x:c>
      <x:c r="J6" s="54" t="n">
        <x:f>SUMIF('WBS'!$D$5:$D$19,F6,'WBS'!$R$5:$R$19)</x:f>
        <x:v>78</x:v>
      </x:c>
      <x:c r="K6" s="44" t="str">
        <x:f>IF(J6&gt;I6,"과부하","정상")</x:f>
        <x:v>과부하</x:v>
      </x:c>
    </x:row>
    <x:row r="7">
      <x:c r="A7" s="41" t="str">
        <x:v>배포/롤백일</x:v>
      </x:c>
      <x:c r="B7" s="42" t="n">
        <x:v>46265</x:v>
      </x:c>
      <x:c r="C7" s="43" t="str">
        <x:v>배포·롤백 리허설 전용; 신규 개발 금지</x:v>
      </x:c>
      <x:c r="D7" s="44" t="str">
        <x:v>고정</x:v>
      </x:c>
      <x:c r="F7" s="41" t="str">
        <x:v>윤민호</x:v>
      </x:c>
      <x:c r="G7" s="43" t="str">
        <x:v>DE·PIT·Lineage</x:v>
      </x:c>
      <x:c r="H7" s="43" t="str">
        <x:v>조은채</x:v>
      </x:c>
      <x:c r="I7" s="54" t="n">
        <x:f>NETWORKDAYS($B$5,$B$6)*$B$9*$B$8</x:f>
        <x:v>72.8</x:v>
      </x:c>
      <x:c r="J7" s="54" t="n">
        <x:f>SUMIF('WBS'!$D$5:$D$19,F7,'WBS'!$R$5:$R$19)</x:f>
        <x:v>40</x:v>
      </x:c>
      <x:c r="K7" s="44" t="str">
        <x:f>IF(J7&gt;I7,"과부하","정상")</x:f>
        <x:v>정상</x:v>
      </x:c>
    </x:row>
    <x:row r="8">
      <x:c r="A8" s="41" t="str">
        <x:v>계획 가용률</x:v>
      </x:c>
      <x:c r="B8" s="49" t="n">
        <x:v>0.7</x:v>
      </x:c>
      <x:c r="C8" s="43" t="str">
        <x:v>개발 창 중 WBS 배정 상한 비율</x:v>
      </x:c>
      <x:c r="D8" s="44" t="str">
        <x:v>조정 가능</x:v>
      </x:c>
      <x:c r="F8" s="41" t="str">
        <x:v>조은채</x:v>
      </x:c>
      <x:c r="G8" s="43" t="str">
        <x:v>QA·수용 증적</x:v>
      </x:c>
      <x:c r="H8" s="43" t="str">
        <x:v>윤민호</x:v>
      </x:c>
      <x:c r="I8" s="54" t="n">
        <x:f>NETWORKDAYS($B$5,$B$6)*$B$9*$B$8</x:f>
        <x:v>72.8</x:v>
      </x:c>
      <x:c r="J8" s="54" t="n">
        <x:f>SUMIF('WBS'!$D$5:$D$19,F8,'WBS'!$R$5:$R$19)</x:f>
        <x:v>18</x:v>
      </x:c>
      <x:c r="K8" s="44" t="str">
        <x:f>IF(J8&gt;I8,"과부하","정상")</x:f>
        <x:v>정상</x:v>
      </x:c>
    </x:row>
    <x:row r="9">
      <x:c r="A9" s="41" t="str">
        <x:v>1인 1일 기준시간</x:v>
      </x:c>
      <x:c r="B9" s="48" t="n">
        <x:v>8</x:v>
      </x:c>
      <x:c r="C9" s="43" t="str">
        <x:v>용량 산정용 시간</x:v>
      </x:c>
      <x:c r="D9" s="44" t="str">
        <x:v>조정 가능</x:v>
      </x:c>
      <x:c r="F9" s="45" t="str">
        <x:v>고준영</x:v>
      </x:c>
      <x:c r="G9" s="46" t="str">
        <x:v>SRE·배포·롤백</x:v>
      </x:c>
      <x:c r="H9" s="46" t="str">
        <x:v>윤서준</x:v>
      </x:c>
      <x:c r="I9" s="55" t="n">
        <x:f>NETWORKDAYS($B$5,$B$6)*$B$9*$B$8</x:f>
        <x:v>72.8</x:v>
      </x:c>
      <x:c r="J9" s="55" t="n">
        <x:f>SUMIF('WBS'!$D$5:$D$19,F9,'WBS'!$R$5:$R$19)</x:f>
        <x:v>66</x:v>
      </x:c>
      <x:c r="K9" s="47" t="str">
        <x:f>IF(J9&gt;I9,"과부하","정상")</x:f>
        <x:v>정상</x:v>
      </x:c>
    </x:row>
    <x:row r="10">
      <x:c r="A10" s="41" t="str">
        <x:v>출시 게이트 이메일 범위</x:v>
      </x:c>
      <x:c r="B10" s="43" t="str">
        <x:v>DEFER</x:v>
      </x:c>
      <x:c r="C10" s="43" t="str">
        <x:v>이메일 발송은 P0 출시 게이트에서 제외; 동의·전달성·아웃박스는 후속 결정</x:v>
      </x:c>
      <x:c r="D10" s="44" t="str">
        <x:v>결정됨</x:v>
      </x:c>
    </x:row>
    <x:row r="11">
      <x:c r="A11" s="41" t="str">
        <x:v>완료 정의</x:v>
      </x:c>
      <x:c r="B11" s="43" t="str">
        <x:v>QA 증적 확인</x:v>
      </x:c>
      <x:c r="C11" s="43" t="str">
        <x:v>증적 URI·해시·QA 조은채 확인 없이는 완료 불가</x:v>
      </x:c>
      <x:c r="D11" s="44" t="str">
        <x:v>고정</x:v>
      </x:c>
    </x:row>
    <x:row r="12">
      <x:c r="A12" s="45" t="str">
        <x:v>일정 위반 규칙</x:v>
      </x:c>
      <x:c r="B12" s="46" t="str">
        <x:v>08-31 개발 금지</x:v>
      </x:c>
      <x:c r="C12" s="46" t="str">
        <x:v>08-31 작업은 배포/롤백/승인만 허용</x:v>
      </x:c>
      <x:c r="D12" s="47" t="str">
        <x:v>고정</x:v>
      </x:c>
    </x:row>
    <x:row r="14">
      <x:c r="A14" s="58" t="str">
        <x:v>용량 경고: WBS의 담당자별 배정 시간이 설정 용량을 초과하면 '과부하'로 표시됩니다. 고정 인력/용량 변경은 PM 육은서 승인 후 반영합니다.</x:v>
      </x:c>
    </x:row>
  </x:sheetData>
  <x:mergeCells>
    <x:mergeCell ref="A1:J1"/>
    <x:mergeCell ref="A2:J2"/>
    <x:mergeCell ref="A14:K14"/>
  </x:mergeCells>
  <x:conditionalFormatting sqref="K5:K9">
    <x:cfRule type="containsText" dxfId="0" priority="1" operator="containsText" text="과부하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42" hidden="0" customWidth="1"/>
    <x:col min="4" max="4" width="16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18" hidden="0" customWidth="1"/>
    <x:col min="10" max="10" width="11" hidden="0" customWidth="1"/>
    <x:col min="11" max="11" width="9" hidden="0" customWidth="1"/>
    <x:col min="12" max="12" width="13" hidden="0" customWidth="1"/>
    <x:col min="13" max="13" width="22" hidden="0" customWidth="1"/>
    <x:col min="14" max="14" width="47" hidden="0" customWidth="1"/>
    <x:col min="15" max="15" width="29" hidden="0" customWidth="1"/>
    <x:col min="16" max="16" width="13" hidden="0" customWidth="1"/>
    <x:col min="17" max="17" width="32" hidden="0" customWidth="1"/>
    <x:col min="18" max="18" width="12" hidden="0" customWidth="1"/>
  </x:cols>
  <x:sheetData>
    <x:row r="1" ht="30" customHeight="1">
      <x:c r="A1" s="3" t="str">
        <x:v>QuantAgent 프로덕션 준비 WBS</x:v>
      </x:c>
    </x:row>
    <x:row r="2" ht="28" customHeight="1">
      <x:c r="A2" s="6" t="str">
        <x:v>P0 완료는 코드 병합이 아니라 명령·환경·통과 임계값·증적 URI/해시·승인자·실패/롤백 조건이 모두 채워지고 QA 조은채가 수용한 상태를 의미합니다.</x:v>
      </x:c>
    </x:row>
    <x:row r="4" ht="30" customHeight="1">
      <x:c r="A4" s="11" t="str">
        <x:v>ID</x:v>
      </x:c>
      <x:c r="B4" s="11" t="str">
        <x:v>단계</x:v>
      </x:c>
      <x:c r="C4" s="11" t="str">
        <x:v>작업</x:v>
      </x:c>
      <x:c r="D4" s="11" t="str">
        <x:v>주 담당</x:v>
      </x:c>
      <x:c r="E4" s="11" t="str">
        <x:v>백업</x:v>
      </x:c>
      <x:c r="F4" s="11" t="str">
        <x:v>시작일</x:v>
      </x:c>
      <x:c r="G4" s="11" t="str">
        <x:v>종료일</x:v>
      </x:c>
      <x:c r="H4" s="11" t="str">
        <x:v>기간(영업일)</x:v>
      </x:c>
      <x:c r="I4" s="11" t="str">
        <x:v>선행</x:v>
      </x:c>
      <x:c r="J4" s="11" t="str">
        <x:v>상태</x:v>
      </x:c>
      <x:c r="K4" s="11" t="str">
        <x:v>우선</x:v>
      </x:c>
      <x:c r="L4" s="11" t="str">
        <x:v>Risk ID</x:v>
      </x:c>
      <x:c r="M4" s="11" t="str">
        <x:v>Claim ID</x:v>
      </x:c>
      <x:c r="N4" s="11" t="str">
        <x:v>수용 기준</x:v>
      </x:c>
      <x:c r="O4" s="11" t="str">
        <x:v>증적 URI / 해시</x:v>
      </x:c>
      <x:c r="P4" s="11" t="str">
        <x:v>승인자</x:v>
      </x:c>
      <x:c r="Q4" s="11" t="str">
        <x:v>실패 / 롤백 조건</x:v>
      </x:c>
      <x:c r="R4" s="11" t="str">
        <x:v>배정시간</x:v>
      </x:c>
    </x:row>
    <x:row r="5" ht="44" customHeight="1">
      <x:c r="A5" s="37" t="str">
        <x:v>M0</x:v>
      </x:c>
      <x:c r="B5" s="39" t="str">
        <x:v>근거·범위</x:v>
      </x:c>
      <x:c r="C5" s="39" t="str">
        <x:v>근거·범위·이메일 DEFER 결정 동결</x:v>
      </x:c>
      <x:c r="D5" s="39" t="str">
        <x:v>육은서</x:v>
      </x:c>
      <x:c r="E5" s="39" t="str">
        <x:v>조은채</x:v>
      </x:c>
      <x:c r="F5" s="60" t="n">
        <x:f>'설정'!$B$5+0</x:f>
        <x:v>46246</x:v>
      </x:c>
      <x:c r="G5" s="60" t="n">
        <x:f>'설정'!$B$5+0</x:f>
        <x:v>46246</x:v>
      </x:c>
      <x:c r="H5" s="61" t="n">
        <x:f>NETWORKDAYS(F5,G5)</x:f>
        <x:v>1</x:v>
      </x:c>
      <x:c r="I5" s="39" t="str"/>
      <x:c r="J5" s="39" t="str">
        <x:v>진행 중</x:v>
      </x:c>
      <x:c r="K5" s="39" t="str">
        <x:v>P0</x:v>
      </x:c>
      <x:c r="L5" s="39" t="str">
        <x:v>R-02</x:v>
      </x:c>
      <x:c r="M5" s="39" t="str">
        <x:v>CLM-D-01</x:v>
      </x:c>
      <x:c r="N5" s="39" t="str">
        <x:v>추적성 100%, OPEN 담당자·기한, Email=DEFER 승인</x:v>
      </x:c>
      <x:c r="O5" s="39" t="str">
        <x:v>evidence://M0-scope-freeze</x:v>
      </x:c>
      <x:c r="P5" s="39" t="str">
        <x:v>육은서</x:v>
      </x:c>
      <x:c r="Q5" s="39" t="str">
        <x:v>미승인 시 모든 P0 착수 금지</x:v>
      </x:c>
      <x:c r="R5" s="40" t="n">
        <x:v>6</x:v>
      </x:c>
    </x:row>
    <x:row r="6" ht="44" customHeight="1">
      <x:c r="A6" s="41" t="str">
        <x:v>P0-00</x:v>
      </x:c>
      <x:c r="B6" s="43" t="str">
        <x:v>아키텍처 게이트</x:v>
      </x:c>
      <x:c r="C6" s="43" t="str">
        <x:v>실제 배포 현황·현재 commit·운영 경로 확인</x:v>
      </x:c>
      <x:c r="D6" s="43" t="str">
        <x:v>고준영</x:v>
      </x:c>
      <x:c r="E6" s="43" t="str">
        <x:v>윤서준</x:v>
      </x:c>
      <x:c r="F6" s="62" t="n">
        <x:f>'설정'!$B$5+0</x:f>
        <x:v>46246</x:v>
      </x:c>
      <x:c r="G6" s="62" t="n">
        <x:f>'설정'!$B$5+1</x:f>
        <x:v>46247</x:v>
      </x:c>
      <x:c r="H6" s="63" t="n">
        <x:f>NETWORKDAYS(F6,G6)</x:f>
        <x:v>2</x:v>
      </x:c>
      <x:c r="I6" s="43" t="str">
        <x:v>M0</x:v>
      </x:c>
      <x:c r="J6" s="43" t="str">
        <x:v>미착수</x:v>
      </x:c>
      <x:c r="K6" s="43" t="str">
        <x:v>P0</x:v>
      </x:c>
      <x:c r="L6" s="43" t="str">
        <x:v>R-04</x:v>
      </x:c>
      <x:c r="M6" s="43" t="str">
        <x:v>CLM-DEPLOY</x:v>
      </x:c>
      <x:c r="N6" s="43" t="str">
        <x:v>배포 commit·process·환경·인증 경로를 증적으로 고정</x:v>
      </x:c>
      <x:c r="O6" s="43" t="str">
        <x:v>evidence://P0-00-deploy-facts</x:v>
      </x:c>
      <x:c r="P6" s="43" t="str">
        <x:v>고준영</x:v>
      </x:c>
      <x:c r="Q6" s="43" t="str">
        <x:v>불일치 시 canonical ingress 작업 보류</x:v>
      </x:c>
      <x:c r="R6" s="44" t="n">
        <x:v>12</x:v>
      </x:c>
    </x:row>
    <x:row r="7" ht="44" customHeight="1">
      <x:c r="A7" s="41" t="str">
        <x:v>P0-01</x:v>
      </x:c>
      <x:c r="B7" s="43" t="str">
        <x:v>아키텍처 게이트</x:v>
      </x:c>
      <x:c r="C7" s="43" t="str">
        <x:v>canonical ingress ADR 및 공개 API 경계 승인</x:v>
      </x:c>
      <x:c r="D7" s="43" t="str">
        <x:v>윤서준</x:v>
      </x:c>
      <x:c r="E7" s="43" t="str">
        <x:v>고준영</x:v>
      </x:c>
      <x:c r="F7" s="62" t="n">
        <x:f>'설정'!$B$5+1</x:f>
        <x:v>46247</x:v>
      </x:c>
      <x:c r="G7" s="62" t="n">
        <x:f>'설정'!$B$5+2</x:f>
        <x:v>46248</x:v>
      </x:c>
      <x:c r="H7" s="63" t="n">
        <x:f>NETWORKDAYS(F7,G7)</x:f>
        <x:v>2</x:v>
      </x:c>
      <x:c r="I7" s="43" t="str">
        <x:v>P0-00</x:v>
      </x:c>
      <x:c r="J7" s="43" t="str">
        <x:v>미착수</x:v>
      </x:c>
      <x:c r="K7" s="43" t="str">
        <x:v>P0</x:v>
      </x:c>
      <x:c r="L7" s="43" t="str">
        <x:v>R-04</x:v>
      </x:c>
      <x:c r="M7" s="43" t="str">
        <x:v>CLM-A-01,CLM-RUNMODE</x:v>
      </x:c>
      <x:c r="N7" s="43" t="str">
        <x:v>단일 ingress·동기/비동기 run-mode·승인자를 ADR에 명시</x:v>
      </x:c>
      <x:c r="O7" s="43" t="str">
        <x:v>evidence://P0-01-ingress-adr</x:v>
      </x:c>
      <x:c r="P7" s="43" t="str">
        <x:v>윤서준</x:v>
      </x:c>
      <x:c r="Q7" s="43" t="str">
        <x:v>ADR 미승인 시 중복 제거 금지</x:v>
      </x:c>
      <x:c r="R7" s="44" t="n">
        <x:v>14</x:v>
      </x:c>
    </x:row>
    <x:row r="8" ht="44" customHeight="1">
      <x:c r="A8" s="41" t="str">
        <x:v>P0-02</x:v>
      </x:c>
      <x:c r="B8" s="43" t="str">
        <x:v>아키텍처 게이트</x:v>
      </x:c>
      <x:c r="C8" s="43" t="str">
        <x:v>중복 FE/백테스트/API 경로 제거 또는 명시적 격리</x:v>
      </x:c>
      <x:c r="D8" s="43" t="str">
        <x:v>윤서준</x:v>
      </x:c>
      <x:c r="E8" s="43" t="str">
        <x:v>육은서</x:v>
      </x:c>
      <x:c r="F8" s="62" t="n">
        <x:f>'설정'!$B$5+2</x:f>
        <x:v>46248</x:v>
      </x:c>
      <x:c r="G8" s="62" t="n">
        <x:f>'설정'!$B$5+4</x:f>
        <x:v>46250</x:v>
      </x:c>
      <x:c r="H8" s="63" t="n">
        <x:f>NETWORKDAYS(F8,G8)</x:f>
        <x:v>1</x:v>
      </x:c>
      <x:c r="I8" s="43" t="str">
        <x:v>P0-01</x:v>
      </x:c>
      <x:c r="J8" s="43" t="str">
        <x:v>미착수</x:v>
      </x:c>
      <x:c r="K8" s="43" t="str">
        <x:v>P0</x:v>
      </x:c>
      <x:c r="L8" s="43" t="str">
        <x:v>R-04</x:v>
      </x:c>
      <x:c r="M8" s="43" t="str">
        <x:v>CLM-A-01</x:v>
      </x:c>
      <x:c r="N8" s="43" t="str">
        <x:v>canonical 경로 외 중복의 삭제·격리·소유자가 계약 테스트로 확인</x:v>
      </x:c>
      <x:c r="O8" s="43" t="str">
        <x:v>evidence://P0-02-duplication</x:v>
      </x:c>
      <x:c r="P8" s="43" t="str">
        <x:v>윤서준</x:v>
      </x:c>
      <x:c r="Q8" s="43" t="str">
        <x:v>계약 회귀 시 변경 롤백</x:v>
      </x:c>
      <x:c r="R8" s="44" t="n">
        <x:v>18</x:v>
      </x:c>
    </x:row>
    <x:row r="9" ht="44" customHeight="1">
      <x:c r="A9" s="41" t="str">
        <x:v>P0-03</x:v>
      </x:c>
      <x:c r="B9" s="43" t="str">
        <x:v>아키텍처 게이트</x:v>
      </x:c>
      <x:c r="C9" s="43" t="str">
        <x:v>executor·인증·취소·실패 투명성 경계 구현</x:v>
      </x:c>
      <x:c r="D9" s="43" t="str">
        <x:v>윤서준</x:v>
      </x:c>
      <x:c r="E9" s="43" t="str">
        <x:v>고준영</x:v>
      </x:c>
      <x:c r="F9" s="62" t="n">
        <x:f>'설정'!$B$5+4</x:f>
        <x:v>46250</x:v>
      </x:c>
      <x:c r="G9" s="62" t="n">
        <x:f>'설정'!$B$5+6</x:f>
        <x:v>46252</x:v>
      </x:c>
      <x:c r="H9" s="63" t="n">
        <x:f>NETWORKDAYS(F9,G9)</x:f>
        <x:v>2</x:v>
      </x:c>
      <x:c r="I9" s="43" t="str">
        <x:v>P0-02</x:v>
      </x:c>
      <x:c r="J9" s="43" t="str">
        <x:v>미착수</x:v>
      </x:c>
      <x:c r="K9" s="43" t="str">
        <x:v>P0</x:v>
      </x:c>
      <x:c r="L9" s="43" t="str">
        <x:v>R-04</x:v>
      </x:c>
      <x:c r="M9" s="43" t="str">
        <x:v>CLM-P-01,CLM-P-02</x:v>
      </x:c>
      <x:c r="N9" s="43" t="str">
        <x:v>timeout/cancel/resource release와 인증 실패가 정상 결과로 노출되지 않음</x:v>
      </x:c>
      <x:c r="O9" s="43" t="str">
        <x:v>evidence://P0-03-executor-auth</x:v>
      </x:c>
      <x:c r="P9" s="43" t="str">
        <x:v>윤서준</x:v>
      </x:c>
      <x:c r="Q9" s="43" t="str">
        <x:v>E2E 실패 시 release 차단</x:v>
      </x:c>
      <x:c r="R9" s="44" t="n">
        <x:v>22</x:v>
      </x:c>
    </x:row>
    <x:row r="10" ht="44" customHeight="1">
      <x:c r="A10" s="41" t="str">
        <x:v>P0-04</x:v>
      </x:c>
      <x:c r="B10" s="43" t="str">
        <x:v>아키텍처 게이트</x:v>
      </x:c>
      <x:c r="C10" s="43" t="str">
        <x:v>상태 영속성·idempotency·동시성·격리 구현</x:v>
      </x:c>
      <x:c r="D10" s="43" t="str">
        <x:v>윤서준</x:v>
      </x:c>
      <x:c r="E10" s="43" t="str">
        <x:v>고준영</x:v>
      </x:c>
      <x:c r="F10" s="62" t="n">
        <x:f>'설정'!$B$5+5</x:f>
        <x:v>46251</x:v>
      </x:c>
      <x:c r="G10" s="62" t="n">
        <x:f>'설정'!$B$5+8</x:f>
        <x:v>46254</x:v>
      </x:c>
      <x:c r="H10" s="63" t="n">
        <x:f>NETWORKDAYS(F10,G10)</x:f>
        <x:v>4</x:v>
      </x:c>
      <x:c r="I10" s="43" t="str">
        <x:v>P0-03</x:v>
      </x:c>
      <x:c r="J10" s="43" t="str">
        <x:v>미착수</x:v>
      </x:c>
      <x:c r="K10" s="43" t="str">
        <x:v>P0</x:v>
      </x:c>
      <x:c r="L10" s="43" t="str">
        <x:v>R-04</x:v>
      </x:c>
      <x:c r="M10" s="43" t="str">
        <x:v>CLM-P-01,CLM-A-01</x:v>
      </x:c>
      <x:c r="N10" s="43" t="str">
        <x:v>재시작/부하에서 orphan·duplicate=0, 동시성 상한 적용</x:v>
      </x:c>
      <x:c r="O10" s="43" t="str">
        <x:v>evidence://P0-04-persistence</x:v>
      </x:c>
      <x:c r="P10" s="43" t="str">
        <x:v>윤서준</x:v>
      </x:c>
      <x:c r="Q10" s="43" t="str">
        <x:v>orphan/duplicate 발생 시 롤백</x:v>
      </x:c>
      <x:c r="R10" s="44" t="n">
        <x:v>24</x:v>
      </x:c>
    </x:row>
    <x:row r="11" ht="44" customHeight="1">
      <x:c r="A11" s="41" t="str">
        <x:v>P0-05</x:v>
      </x:c>
      <x:c r="B11" s="43" t="str">
        <x:v>아키텍처 게이트</x:v>
      </x:c>
      <x:c r="C11" s="43" t="str">
        <x:v>인증된 request-to-report E2E 경로 검증</x:v>
      </x:c>
      <x:c r="D11" s="43" t="str">
        <x:v>조은채</x:v>
      </x:c>
      <x:c r="E11" s="43" t="str">
        <x:v>윤서준</x:v>
      </x:c>
      <x:c r="F11" s="62" t="n">
        <x:f>'설정'!$B$5+8</x:f>
        <x:v>46254</x:v>
      </x:c>
      <x:c r="G11" s="62" t="n">
        <x:f>'설정'!$B$5+10</x:f>
        <x:v>46256</x:v>
      </x:c>
      <x:c r="H11" s="63" t="n">
        <x:f>NETWORKDAYS(F11,G11)</x:f>
        <x:v>2</x:v>
      </x:c>
      <x:c r="I11" s="43" t="str">
        <x:v>P0-04</x:v>
      </x:c>
      <x:c r="J11" s="43" t="str">
        <x:v>미착수</x:v>
      </x:c>
      <x:c r="K11" s="43" t="str">
        <x:v>P0</x:v>
      </x:c>
      <x:c r="L11" s="43" t="str">
        <x:v>R-04</x:v>
      </x:c>
      <x:c r="M11" s="43" t="str">
        <x:v>CLM-DEPLOY</x:v>
      </x:c>
      <x:c r="N11" s="43" t="str">
        <x:v>브라우저→ingress→AI→executor→report trace가 단일 trace ID로 연결</x:v>
      </x:c>
      <x:c r="O11" s="43" t="str">
        <x:v>evidence://P0-05-e2e</x:v>
      </x:c>
      <x:c r="P11" s="43" t="str">
        <x:v>조은채</x:v>
      </x:c>
      <x:c r="Q11" s="43" t="str">
        <x:v>E2E/trace 누락 시 운영 gate 반려</x:v>
      </x:c>
      <x:c r="R11" s="44" t="n">
        <x:v>18</x:v>
      </x:c>
    </x:row>
    <x:row r="12" ht="44" customHeight="1">
      <x:c r="A12" s="41" t="str">
        <x:v>P0-06</x:v>
      </x:c>
      <x:c r="B12" s="43" t="str">
        <x:v>데이터 신뢰</x:v>
      </x:c>
      <x:c r="C12" s="43" t="str">
        <x:v>provenance contract 및 프로필별 source/failure manifest</x:v>
      </x:c>
      <x:c r="D12" s="43" t="str">
        <x:v>윤민호</x:v>
      </x:c>
      <x:c r="E12" s="43" t="str">
        <x:v>조은채</x:v>
      </x:c>
      <x:c r="F12" s="62" t="n">
        <x:f>'설정'!$B$5+1</x:f>
        <x:v>46247</x:v>
      </x:c>
      <x:c r="G12" s="62" t="n">
        <x:f>'설정'!$B$5+3</x:f>
        <x:v>46249</x:v>
      </x:c>
      <x:c r="H12" s="63" t="n">
        <x:f>NETWORKDAYS(F12,G12)</x:f>
        <x:v>2</x:v>
      </x:c>
      <x:c r="I12" s="43" t="str">
        <x:v>M0</x:v>
      </x:c>
      <x:c r="J12" s="43" t="str">
        <x:v>미착수</x:v>
      </x:c>
      <x:c r="K12" s="43" t="str">
        <x:v>P0</x:v>
      </x:c>
      <x:c r="L12" s="43" t="str">
        <x:v>R-01</x:v>
      </x:c>
      <x:c r="M12" s="43" t="str">
        <x:v>CLM-R-01,CLM-Q-01</x:v>
      </x:c>
      <x:c r="N12" s="43" t="str">
        <x:v>fixture/운영 profile의 source·failure·fallback 계약 회귀 통과</x:v>
      </x:c>
      <x:c r="O12" s="43" t="str">
        <x:v>evidence://P0-06-provenance</x:v>
      </x:c>
      <x:c r="P12" s="43" t="str">
        <x:v>윤민호</x:v>
      </x:c>
      <x:c r="Q12" s="43" t="str">
        <x:v>configured DSN 실패 fixture 대체 발견 시 롤백</x:v>
      </x:c>
      <x:c r="R12" s="44" t="n">
        <x:v>16</x:v>
      </x:c>
    </x:row>
    <x:row r="13" ht="44" customHeight="1">
      <x:c r="A13" s="41" t="str">
        <x:v>P0-07</x:v>
      </x:c>
      <x:c r="B13" s="43" t="str">
        <x:v>데이터 신뢰</x:v>
      </x:c>
      <x:c r="C13" s="43" t="str">
        <x:v>PIT universe·상폐·freshness·lineage hash 검증</x:v>
      </x:c>
      <x:c r="D13" s="43" t="str">
        <x:v>윤민호</x:v>
      </x:c>
      <x:c r="E13" s="43" t="str">
        <x:v>조은채</x:v>
      </x:c>
      <x:c r="F13" s="62" t="n">
        <x:f>'설정'!$B$5+3</x:f>
        <x:v>46249</x:v>
      </x:c>
      <x:c r="G13" s="62" t="n">
        <x:f>'설정'!$B$5+6</x:f>
        <x:v>46252</x:v>
      </x:c>
      <x:c r="H13" s="63" t="n">
        <x:f>NETWORKDAYS(F13,G13)</x:f>
        <x:v>2</x:v>
      </x:c>
      <x:c r="I13" s="43" t="str">
        <x:v>P0-06</x:v>
      </x:c>
      <x:c r="J13" s="43" t="str">
        <x:v>미착수</x:v>
      </x:c>
      <x:c r="K13" s="43" t="str">
        <x:v>P0</x:v>
      </x:c>
      <x:c r="L13" s="43" t="str">
        <x:v>R-01</x:v>
      </x:c>
      <x:c r="M13" s="43" t="str">
        <x:v>CLM-Q-01,M-Q01</x:v>
      </x:c>
      <x:c r="N13" s="43" t="str">
        <x:v>as-of snapshot·상폐 비교·freshness threshold·lineage hash 기록</x:v>
      </x:c>
      <x:c r="O13" s="43" t="str">
        <x:v>evidence://P0-07-pit</x:v>
      </x:c>
      <x:c r="P13" s="43" t="str">
        <x:v>윤민호</x:v>
      </x:c>
      <x:c r="Q13" s="43" t="str">
        <x:v>snapshot/hash 없음은 Retest-required</x:v>
      </x:c>
      <x:c r="R13" s="44" t="n">
        <x:v>24</x:v>
      </x:c>
    </x:row>
    <x:row r="14" ht="44" customHeight="1">
      <x:c r="A14" s="41" t="str">
        <x:v>P0-08</x:v>
      </x:c>
      <x:c r="B14" s="43" t="str">
        <x:v>정량 방법론</x:v>
      </x:c>
      <x:c r="C14" s="43" t="str">
        <x:v>warm-up·pseudo-OOS/walk-forward·PBO/CSCV 검증</x:v>
      </x:c>
      <x:c r="D14" s="43" t="str">
        <x:v>육은서</x:v>
      </x:c>
      <x:c r="E14" s="43" t="str">
        <x:v>조은채</x:v>
      </x:c>
      <x:c r="F14" s="62" t="n">
        <x:f>'설정'!$B$5+6</x:f>
        <x:v>46252</x:v>
      </x:c>
      <x:c r="G14" s="62" t="n">
        <x:f>'설정'!$B$5+9</x:f>
        <x:v>46255</x:v>
      </x:c>
      <x:c r="H14" s="63" t="n">
        <x:f>NETWORKDAYS(F14,G14)</x:f>
        <x:v>4</x:v>
      </x:c>
      <x:c r="I14" s="43" t="str">
        <x:v>P0-07</x:v>
      </x:c>
      <x:c r="J14" s="43" t="str">
        <x:v>미착수</x:v>
      </x:c>
      <x:c r="K14" s="43" t="str">
        <x:v>P0</x:v>
      </x:c>
      <x:c r="L14" s="43" t="str">
        <x:v>R-03</x:v>
      </x:c>
      <x:c r="M14" s="43" t="str">
        <x:v>CLM-Q-01,CLM-Q-02,CLM-E-01</x:v>
      </x:c>
      <x:c r="N14" s="43" t="str">
        <x:v>longest-window no-signal, OOS-only headline, PBO/CSCV 방법·입력·결과 고정</x:v>
      </x:c>
      <x:c r="O14" s="43" t="str">
        <x:v>evidence://P0-08-oos-pbo</x:v>
      </x:c>
      <x:c r="P14" s="43" t="str">
        <x:v>육은서</x:v>
      </x:c>
      <x:c r="Q14" s="43" t="str">
        <x:v>IS 포함/방법 미정은 사용자 노출 금지</x:v>
      </x:c>
      <x:c r="R14" s="44" t="n">
        <x:v>24</x:v>
      </x:c>
    </x:row>
    <x:row r="15" ht="44" customHeight="1">
      <x:c r="A15" s="41" t="str">
        <x:v>P0-09</x:v>
      </x:c>
      <x:c r="B15" s="43" t="str">
        <x:v>정량 방법론</x:v>
      </x:c>
      <x:c r="C15" s="43" t="str">
        <x:v>평가기 parity·benchmark·비용/슬리피지·regime robustness</x:v>
      </x:c>
      <x:c r="D15" s="43" t="str">
        <x:v>육은서</x:v>
      </x:c>
      <x:c r="E15" s="43" t="str">
        <x:v>윤서준</x:v>
      </x:c>
      <x:c r="F15" s="62" t="n">
        <x:f>'설정'!$B$5+8</x:f>
        <x:v>46254</x:v>
      </x:c>
      <x:c r="G15" s="62" t="n">
        <x:f>'설정'!$B$5+12</x:f>
        <x:v>46258</x:v>
      </x:c>
      <x:c r="H15" s="63" t="n">
        <x:f>NETWORKDAYS(F15,G15)</x:f>
        <x:v>3</x:v>
      </x:c>
      <x:c r="I15" s="43" t="str">
        <x:v>P0-08</x:v>
      </x:c>
      <x:c r="J15" s="43" t="str">
        <x:v>미착수</x:v>
      </x:c>
      <x:c r="K15" s="43" t="str">
        <x:v>P0</x:v>
      </x:c>
      <x:c r="L15" s="43" t="str">
        <x:v>R-03</x:v>
      </x:c>
      <x:c r="M15" s="43" t="str">
        <x:v>CLM-Q-03,CLM-E-02,M-Q03</x:v>
      </x:c>
      <x:c r="N15" s="43" t="str">
        <x:v>정의 불일치=0; benchmark·fill/cost·regime slice 결과와 한계 공개</x:v>
      </x:c>
      <x:c r="O15" s="43" t="str">
        <x:v>evidence://P0-09-evaluator</x:v>
      </x:c>
      <x:c r="P15" s="43" t="str">
        <x:v>육은서</x:v>
      </x:c>
      <x:c r="Q15" s="43" t="str">
        <x:v>불일치 시 추천/성과 헤드라인 차단</x:v>
      </x:c>
      <x:c r="R15" s="44" t="n">
        <x:v>26</x:v>
      </x:c>
    </x:row>
    <x:row r="16" ht="44" customHeight="1">
      <x:c r="A16" s="41" t="str">
        <x:v>P0-10</x:v>
      </x:c>
      <x:c r="B16" s="43" t="str">
        <x:v>운영 준비</x:v>
      </x:c>
      <x:c r="C16" s="43" t="str">
        <x:v>관측성·latency SLO·data freshness·forward/paper observation</x:v>
      </x:c>
      <x:c r="D16" s="43" t="str">
        <x:v>고준영</x:v>
      </x:c>
      <x:c r="E16" s="43" t="str">
        <x:v>윤서준</x:v>
      </x:c>
      <x:c r="F16" s="62" t="n">
        <x:f>'설정'!$B$5+10</x:f>
        <x:v>46256</x:v>
      </x:c>
      <x:c r="G16" s="62" t="n">
        <x:f>'설정'!$B$5+14</x:f>
        <x:v>46260</x:v>
      </x:c>
      <x:c r="H16" s="63" t="n">
        <x:f>NETWORKDAYS(F16,G16)</x:f>
        <x:v>3</x:v>
      </x:c>
      <x:c r="I16" s="43" t="str">
        <x:v>P0-05,P0-09</x:v>
      </x:c>
      <x:c r="J16" s="43" t="str">
        <x:v>미착수</x:v>
      </x:c>
      <x:c r="K16" s="43" t="str">
        <x:v>P0</x:v>
      </x:c>
      <x:c r="L16" s="43" t="str">
        <x:v>R-05</x:v>
      </x:c>
      <x:c r="M16" s="43" t="str">
        <x:v>CLM-P-02,CLM-DEPLOY,M-Q03</x:v>
      </x:c>
      <x:c r="N16" s="43" t="str">
        <x:v>p50/p95·RSS·비용·freshness SLO, forward/paper 관찰 기준과 alert 증적</x:v>
      </x:c>
      <x:c r="O16" s="43" t="str">
        <x:v>evidence://P0-10-slo</x:v>
      </x:c>
      <x:c r="P16" s="43" t="str">
        <x:v>고준영</x:v>
      </x:c>
      <x:c r="Q16" s="43" t="str">
        <x:v>SLO/trace/alert 미검증 시 deploy 금지</x:v>
      </x:c>
      <x:c r="R16" s="44" t="n">
        <x:v>22</x:v>
      </x:c>
    </x:row>
    <x:row r="17" ht="44" customHeight="1">
      <x:c r="A17" s="41" t="str">
        <x:v>P0-11</x:v>
      </x:c>
      <x:c r="B17" s="43" t="str">
        <x:v>배포·복구</x:v>
      </x:c>
      <x:c r="C17" s="43" t="str">
        <x:v>migration·restore·rollback 리허설 및 runbook</x:v>
      </x:c>
      <x:c r="D17" s="43" t="str">
        <x:v>고준영</x:v>
      </x:c>
      <x:c r="E17" s="43" t="str">
        <x:v>조은채</x:v>
      </x:c>
      <x:c r="F17" s="62" t="n">
        <x:f>'설정'!$B$5+14</x:f>
        <x:v>46260</x:v>
      </x:c>
      <x:c r="G17" s="62" t="n">
        <x:f>'설정'!$B$5+17</x:f>
        <x:v>46263</x:v>
      </x:c>
      <x:c r="H17" s="63" t="n">
        <x:f>NETWORKDAYS(F17,G17)</x:f>
        <x:v>3</x:v>
      </x:c>
      <x:c r="I17" s="43" t="str">
        <x:v>P0-10</x:v>
      </x:c>
      <x:c r="J17" s="43" t="str">
        <x:v>미착수</x:v>
      </x:c>
      <x:c r="K17" s="43" t="str">
        <x:v>P0</x:v>
      </x:c>
      <x:c r="L17" s="43" t="str">
        <x:v>R-05</x:v>
      </x:c>
      <x:c r="M17" s="43" t="str">
        <x:v>CLM-D-01,CLM-DEPLOY</x:v>
      </x:c>
      <x:c r="N17" s="43" t="str">
        <x:v>migration/restore/rollback 명령 로그·복구 시간·승인 서명 확보</x:v>
      </x:c>
      <x:c r="O17" s="43" t="str">
        <x:v>evidence://P0-11-rollback</x:v>
      </x:c>
      <x:c r="P17" s="43" t="str">
        <x:v>고준영</x:v>
      </x:c>
      <x:c r="Q17" s="43" t="str">
        <x:v>restore 증적 없음은 08-31 배포 반려</x:v>
      </x:c>
      <x:c r="R17" s="44" t="n">
        <x:v>20</x:v>
      </x:c>
    </x:row>
    <x:row r="18" ht="44" customHeight="1">
      <x:c r="A18" s="41" t="str">
        <x:v>M1</x:v>
      </x:c>
      <x:c r="B18" s="43" t="str">
        <x:v>출시 결정</x:v>
      </x:c>
      <x:c r="C18" s="43" t="str">
        <x:v>P0 증적 수용·위험 수용·08-31 배포/롤백 승인</x:v>
      </x:c>
      <x:c r="D18" s="43" t="str">
        <x:v>육은서</x:v>
      </x:c>
      <x:c r="E18" s="43" t="str">
        <x:v>조은채</x:v>
      </x:c>
      <x:c r="F18" s="62" t="n">
        <x:f>'설정'!$B$5+17</x:f>
        <x:v>46263</x:v>
      </x:c>
      <x:c r="G18" s="62" t="n">
        <x:f>'설정'!$B$5+18</x:f>
        <x:v>46264</x:v>
      </x:c>
      <x:c r="H18" s="63" t="n">
        <x:f>NETWORKDAYS(F18,G18)</x:f>
        <x:v>0</x:v>
      </x:c>
      <x:c r="I18" s="43" t="str">
        <x:v>P0-11</x:v>
      </x:c>
      <x:c r="J18" s="43" t="str">
        <x:v>미착수</x:v>
      </x:c>
      <x:c r="K18" s="43" t="str">
        <x:v>P0</x:v>
      </x:c>
      <x:c r="L18" s="43" t="str">
        <x:v>R-01,R-04,R-05</x:v>
      </x:c>
      <x:c r="M18" s="43" t="str">
        <x:v>-</x:v>
      </x:c>
      <x:c r="N18" s="43" t="str">
        <x:v>모든 P0=완료/DEFER 위험 수용, QA 승인, Email=DEFER 재확인</x:v>
      </x:c>
      <x:c r="O18" s="43" t="str">
        <x:v>evidence://M1-release-gate</x:v>
      </x:c>
      <x:c r="P18" s="43" t="str">
        <x:v>육은서</x:v>
      </x:c>
      <x:c r="Q18" s="43" t="str">
        <x:v>차단 P0 존재 시 08-31은 rollback-only</x:v>
      </x:c>
      <x:c r="R18" s="44" t="n">
        <x:v>8</x:v>
      </x:c>
    </x:row>
    <x:row r="19" ht="44" customHeight="1">
      <x:c r="A19" s="45" t="str">
        <x:v>D-01</x:v>
      </x:c>
      <x:c r="B19" s="46" t="str">
        <x:v>배포 전용</x:v>
      </x:c>
      <x:c r="C19" s="46" t="str">
        <x:v>배포·인증 smoke·rollback readiness 실행(개발 금지)</x:v>
      </x:c>
      <x:c r="D19" s="46" t="str">
        <x:v>고준영</x:v>
      </x:c>
      <x:c r="E19" s="46" t="str">
        <x:v>조은채</x:v>
      </x:c>
      <x:c r="F19" s="64" t="n">
        <x:f>'설정'!$B$5+19</x:f>
        <x:v>46265</x:v>
      </x:c>
      <x:c r="G19" s="64" t="n">
        <x:f>'설정'!$B$5+19</x:f>
        <x:v>46265</x:v>
      </x:c>
      <x:c r="H19" s="65" t="n">
        <x:f>NETWORKDAYS(F19,G19)</x:f>
        <x:v>1</x:v>
      </x:c>
      <x:c r="I19" s="46" t="str">
        <x:v>M1</x:v>
      </x:c>
      <x:c r="J19" s="46" t="str">
        <x:v>미착수</x:v>
      </x:c>
      <x:c r="K19" s="46" t="str">
        <x:v>P0</x:v>
      </x:c>
      <x:c r="L19" s="46" t="str">
        <x:v>R-05</x:v>
      </x:c>
      <x:c r="M19" s="46" t="str">
        <x:v>CLM-DEPLOY</x:v>
      </x:c>
      <x:c r="N19" s="46" t="str">
        <x:v>08-31 배포 로그·authenticated smoke·rollback readiness·최종 승인</x:v>
      </x:c>
      <x:c r="O19" s="46" t="str">
        <x:v>evidence://D-01-deploy</x:v>
      </x:c>
      <x:c r="P19" s="46" t="str">
        <x:v>고준영</x:v>
      </x:c>
      <x:c r="Q19" s="46" t="str">
        <x:v>신규 기능 배포/실패는 즉시 rollback</x:v>
      </x:c>
      <x:c r="R19" s="47" t="n">
        <x:v>12</x:v>
      </x:c>
    </x:row>
  </x:sheetData>
  <x:mergeCells>
    <x:mergeCell ref="A1:R1"/>
    <x:mergeCell ref="A2:R2"/>
  </x:mergeCells>
  <x:conditionalFormatting sqref="J5:J19">
    <x:cfRule type="containsText" dxfId="1" priority="1" operator="containsText" text="차단"/>
    <x:cfRule type="containsText" dxfId="2" priority="2" operator="containsText" text="완료"/>
  </x:conditionalFormatting>
  <x:dataValidations count="1">
    <x:dataValidation type="list" sqref="J5:J19">
      <x:formula1>"미착수,진행 중,차단,완료,보류"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dcd940482e47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8" hidden="0" customWidth="1"/>
    <x:col min="4" max="4" width="15" hidden="0" customWidth="1"/>
    <x:col min="5" max="5" width="45" hidden="0" customWidth="1"/>
    <x:col min="6" max="6" width="27" hidden="0" customWidth="1"/>
    <x:col min="7" max="7" width="13" hidden="0" customWidth="1"/>
    <x:col min="8" max="8" width="24" hidden="0" customWidth="1"/>
    <x:col min="9" max="9" width="11" hidden="0" customWidth="1"/>
    <x:col min="10" max="10" width="22" hidden="0" customWidth="1"/>
  </x:cols>
  <x:sheetData>
    <x:row r="1" ht="30" customHeight="1">
      <x:c r="A1" s="3" t="str">
        <x:v>프로덕션 준비 마일스톤</x:v>
      </x:c>
    </x:row>
    <x:row r="2" ht="28" customHeight="1">
      <x:c r="A2" s="6" t="str">
        <x:v>19일 고정 창에서 P0 아키텍처·정량·운영 게이트를 수용 증적으로 판정합니다.</x:v>
      </x:c>
    </x:row>
    <x:row r="4" ht="30" customHeight="1">
      <x:c r="A4" s="11" t="str">
        <x:v>마일스톤</x:v>
      </x:c>
      <x:c r="B4" s="11" t="str">
        <x:v>목표일</x:v>
      </x:c>
      <x:c r="C4" s="11" t="str">
        <x:v>선행</x:v>
      </x:c>
      <x:c r="D4" s="11" t="str">
        <x:v>책임자</x:v>
      </x:c>
      <x:c r="E4" s="11" t="str">
        <x:v>수용 조건</x:v>
      </x:c>
      <x:c r="F4" s="11" t="str">
        <x:v>증적 URI</x:v>
      </x:c>
      <x:c r="G4" s="11" t="str">
        <x:v>승인자</x:v>
      </x:c>
      <x:c r="H4" s="11" t="str">
        <x:v>실패 시 결정</x:v>
      </x:c>
      <x:c r="I4" s="11" t="str">
        <x:v>상태</x:v>
      </x:c>
      <x:c r="J4" s="11" t="str">
        <x:v>비고</x:v>
      </x:c>
    </x:row>
    <x:row r="5">
      <x:c r="A5" s="37" t="str">
        <x:v>M0 근거·범위 동결</x:v>
      </x:c>
      <x:c r="B5" s="38" t="n">
        <x:f>'설정'!$B$5+0</x:f>
        <x:v>46246</x:v>
      </x:c>
      <x:c r="C5" s="39"/>
      <x:c r="D5" s="39" t="str">
        <x:v>육은서</x:v>
      </x:c>
      <x:c r="E5" s="39" t="str">
        <x:v>추적성·Email DEFER·용량 기준 승인</x:v>
      </x:c>
      <x:c r="F5" s="39" t="str">
        <x:v>evidence://M0-scope-freeze</x:v>
      </x:c>
      <x:c r="G5" s="39" t="str">
        <x:v>육은서</x:v>
      </x:c>
      <x:c r="H5" s="39" t="str">
        <x:v>P0 착수 보류</x:v>
      </x:c>
      <x:c r="I5" s="39" t="str">
        <x:v>진행 중</x:v>
      </x:c>
      <x:c r="J5" s="40" t="str"/>
    </x:row>
    <x:row r="6">
      <x:c r="A6" s="41" t="str">
        <x:v>M1 아키텍처 경계</x:v>
      </x:c>
      <x:c r="B6" s="42" t="n">
        <x:f>'설정'!$B$5+6</x:f>
        <x:v>46252</x:v>
      </x:c>
      <x:c r="C6" s="43"/>
      <x:c r="D6" s="43" t="str">
        <x:v>윤서준</x:v>
      </x:c>
      <x:c r="E6" s="43" t="str">
        <x:v>실제 배포→ingress→중복 제거→executor/auth→영속성 gate 수용</x:v>
      </x:c>
      <x:c r="F6" s="43" t="str">
        <x:v>evidence://P0-04-persistence</x:v>
      </x:c>
      <x:c r="G6" s="43" t="str">
        <x:v>조은채</x:v>
      </x:c>
      <x:c r="H6" s="43" t="str">
        <x:v>E2E gate 보류</x:v>
      </x:c>
      <x:c r="I6" s="43" t="str">
        <x:v>미착수</x:v>
      </x:c>
      <x:c r="J6" s="44" t="str"/>
    </x:row>
    <x:row r="7">
      <x:c r="A7" s="41" t="str">
        <x:v>M2 숫자 정확성</x:v>
      </x:c>
      <x:c r="B7" s="42" t="n">
        <x:f>'설정'!$B$5+12</x:f>
        <x:v>46258</x:v>
      </x:c>
      <x:c r="C7" s="43"/>
      <x:c r="D7" s="43" t="str">
        <x:v>육은서</x:v>
      </x:c>
      <x:c r="E7" s="43" t="str">
        <x:v>PIT/OOS/PBO/비용·regime 검증 수용</x:v>
      </x:c>
      <x:c r="F7" s="43" t="str">
        <x:v>evidence://P0-09-evaluator</x:v>
      </x:c>
      <x:c r="G7" s="43" t="str">
        <x:v>조은채</x:v>
      </x:c>
      <x:c r="H7" s="43" t="str">
        <x:v>추천·성과 노출 차단</x:v>
      </x:c>
      <x:c r="I7" s="43" t="str">
        <x:v>미착수</x:v>
      </x:c>
      <x:c r="J7" s="44" t="str"/>
    </x:row>
    <x:row r="8">
      <x:c r="A8" s="41" t="str">
        <x:v>M3 운영 준비</x:v>
      </x:c>
      <x:c r="B8" s="42" t="n">
        <x:f>'설정'!$B$5+17</x:f>
        <x:v>46263</x:v>
      </x:c>
      <x:c r="C8" s="43"/>
      <x:c r="D8" s="43" t="str">
        <x:v>고준영</x:v>
      </x:c>
      <x:c r="E8" s="43" t="str">
        <x:v>trace/SLO/rollback 리허설 수용</x:v>
      </x:c>
      <x:c r="F8" s="43" t="str">
        <x:v>evidence://P0-11-rollback</x:v>
      </x:c>
      <x:c r="G8" s="43" t="str">
        <x:v>조은채</x:v>
      </x:c>
      <x:c r="H8" s="43" t="str">
        <x:v>08-31 deploy 반려</x:v>
      </x:c>
      <x:c r="I8" s="43" t="str">
        <x:v>미착수</x:v>
      </x:c>
      <x:c r="J8" s="44" t="str"/>
    </x:row>
    <x:row r="9">
      <x:c r="A9" s="45" t="str">
        <x:v>M4 08-31 배포/롤백</x:v>
      </x:c>
      <x:c r="B9" s="59" t="n">
        <x:f>'설정'!$B$5+19</x:f>
        <x:v>46265</x:v>
      </x:c>
      <x:c r="C9" s="46"/>
      <x:c r="D9" s="46" t="str">
        <x:v>육은서</x:v>
      </x:c>
      <x:c r="E9" s="46" t="str">
        <x:v>배포 전용일 인증 smoke와 rollback readiness 승인</x:v>
      </x:c>
      <x:c r="F9" s="46" t="str">
        <x:v>evidence://D-01-deploy</x:v>
      </x:c>
      <x:c r="G9" s="46" t="str">
        <x:v>육은서</x:v>
      </x:c>
      <x:c r="H9" s="46" t="str">
        <x:v>rollback-only</x:v>
      </x:c>
      <x:c r="I9" s="46" t="str">
        <x:v>미착수</x:v>
      </x:c>
      <x:c r="J9" s="47" t="str">
        <x:v>신규 개발 금지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313fff0646941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3" hidden="0" customWidth="1"/>
    <x:col min="3" max="3" width="11" hidden="0" customWidth="1"/>
    <x:col min="4" max="4" width="9" hidden="0" customWidth="1"/>
    <x:col min="5" max="5" width="9" hidden="0" customWidth="1"/>
    <x:col min="6" max="6" width="10" hidden="0" customWidth="1"/>
    <x:col min="7" max="7" width="15" hidden="0" customWidth="1"/>
    <x:col min="8" max="8" width="42" hidden="0" customWidth="1"/>
    <x:col min="9" max="9" width="16" hidden="0" customWidth="1"/>
    <x:col min="10" max="10" width="12" hidden="0" customWidth="1"/>
    <x:col min="11" max="11" width="11" hidden="0" customWidth="1"/>
  </x:cols>
  <x:sheetData>
    <x:row r="1" ht="30" customHeight="1">
      <x:c r="A1" s="3" t="str">
        <x:v>프로덕션 준비 위험 등록부</x:v>
      </x:c>
    </x:row>
    <x:row r="2" ht="28" customHeight="1">
      <x:c r="A2" s="6" t="str">
        <x:v>Risk score=가능성×영향. P0의 차단 상태, 증적 공백, 08-31 개발 시도는 출시 반려 조건입니다.</x:v>
      </x:c>
    </x:row>
    <x:row r="4" ht="30" customHeight="1">
      <x:c r="A4" s="11" t="str">
        <x:v>Risk ID</x:v>
      </x:c>
      <x:c r="B4" s="11" t="str">
        <x:v>위험 / Trigger</x:v>
      </x:c>
      <x:c r="C4" s="11" t="str">
        <x:v>가능성</x:v>
      </x:c>
      <x:c r="D4" s="11" t="str">
        <x:v>영향</x:v>
      </x:c>
      <x:c r="E4" s="11" t="str">
        <x:v>점수</x:v>
      </x:c>
      <x:c r="F4" s="11" t="str">
        <x:v>등급</x:v>
      </x:c>
      <x:c r="G4" s="11" t="str">
        <x:v>담당</x:v>
      </x:c>
      <x:c r="H4" s="11" t="str">
        <x:v>완화·결정</x:v>
      </x:c>
      <x:c r="I4" s="11" t="str">
        <x:v>연결 P0</x:v>
      </x:c>
      <x:c r="J4" s="11" t="str">
        <x:v>검토</x:v>
      </x:c>
      <x:c r="K4" s="11" t="str">
        <x:v>상태</x:v>
      </x:c>
    </x:row>
    <x:row r="5">
      <x:c r="A5" s="37" t="str">
        <x:v>R-01</x:v>
      </x:c>
      <x:c r="B5" s="39" t="str">
        <x:v>PIT 데이터·근거·snapshot 누락</x:v>
      </x:c>
      <x:c r="C5" s="39" t="n">
        <x:v>3</x:v>
      </x:c>
      <x:c r="D5" s="39" t="n">
        <x:v>5</x:v>
      </x:c>
      <x:c r="E5" s="39" t="n">
        <x:f>C5*D5</x:f>
        <x:v>15</x:v>
      </x:c>
      <x:c r="F5" s="39" t="str">
        <x:f>IF(E5&gt;=12,"높음",IF(E5&gt;=6,"중간","낮음"))</x:f>
        <x:v>높음</x:v>
      </x:c>
      <x:c r="G5" s="39" t="str">
        <x:v>윤민호</x:v>
      </x:c>
      <x:c r="H5" s="39" t="str">
        <x:v>as-of 공백 시 M2 보류·OPEN escalated</x:v>
      </x:c>
      <x:c r="I5" s="39" t="str">
        <x:v>P0-06~09</x:v>
      </x:c>
      <x:c r="J5" s="39" t="str">
        <x:v>매일</x:v>
      </x:c>
      <x:c r="K5" s="40" t="str">
        <x:v>열림</x:v>
      </x:c>
    </x:row>
    <x:row r="6">
      <x:c r="A6" s="41" t="str">
        <x:v>R-02</x:v>
      </x:c>
      <x:c r="B6" s="43" t="str">
        <x:v>실명 겸임/용량 초과</x:v>
      </x:c>
      <x:c r="C6" s="43" t="n">
        <x:v>4</x:v>
      </x:c>
      <x:c r="D6" s="43" t="n">
        <x:v>4</x:v>
      </x:c>
      <x:c r="E6" s="43" t="n">
        <x:f>C6*D6</x:f>
        <x:v>16</x:v>
      </x:c>
      <x:c r="F6" s="43" t="str">
        <x:f>IF(E6&gt;=12,"높음",IF(E6&gt;=6,"중간","낮음"))</x:f>
        <x:v>높음</x:v>
      </x:c>
      <x:c r="G6" s="43" t="str">
        <x:v>육은서</x:v>
      </x:c>
      <x:c r="H6" s="43" t="str">
        <x:v>70% 초과 시 범위 축소 또는 전담 배정</x:v>
      </x:c>
      <x:c r="I6" s="43" t="str">
        <x:v>M0</x:v>
      </x:c>
      <x:c r="J6" s="43" t="str">
        <x:v>매일</x:v>
      </x:c>
      <x:c r="K6" s="44" t="str">
        <x:v>열림</x:v>
      </x:c>
    </x:row>
    <x:row r="7">
      <x:c r="A7" s="41" t="str">
        <x:v>R-03</x:v>
      </x:c>
      <x:c r="B7" s="43" t="str">
        <x:v>정확성 전 성능/기능 확장</x:v>
      </x:c>
      <x:c r="C7" s="43" t="n">
        <x:v>3</x:v>
      </x:c>
      <x:c r="D7" s="43" t="n">
        <x:v>5</x:v>
      </x:c>
      <x:c r="E7" s="43" t="n">
        <x:f>C7*D7</x:f>
        <x:v>15</x:v>
      </x:c>
      <x:c r="F7" s="43" t="str">
        <x:f>IF(E7&gt;=12,"높음",IF(E7&gt;=6,"중간","낮음"))</x:f>
        <x:v>높음</x:v>
      </x:c>
      <x:c r="G7" s="43" t="str">
        <x:v>육은서</x:v>
      </x:c>
      <x:c r="H7" s="43" t="str">
        <x:v>M2 미통과 시 확장 작업 보류</x:v>
      </x:c>
      <x:c r="I7" s="43" t="str">
        <x:v>P0-08~10</x:v>
      </x:c>
      <x:c r="J7" s="43" t="str">
        <x:v>매일</x:v>
      </x:c>
      <x:c r="K7" s="44" t="str">
        <x:v>열림</x:v>
      </x:c>
    </x:row>
    <x:row r="8">
      <x:c r="A8" s="41" t="str">
        <x:v>R-04</x:v>
      </x:c>
      <x:c r="B8" s="43" t="str">
        <x:v>운영 실패가 정상 결과로 노출</x:v>
      </x:c>
      <x:c r="C8" s="43" t="n">
        <x:v>3</x:v>
      </x:c>
      <x:c r="D8" s="43" t="n">
        <x:v>5</x:v>
      </x:c>
      <x:c r="E8" s="43" t="n">
        <x:f>C8*D8</x:f>
        <x:v>15</x:v>
      </x:c>
      <x:c r="F8" s="43" t="str">
        <x:f>IF(E8&gt;=12,"높음",IF(E8&gt;=6,"중간","낮음"))</x:f>
        <x:v>높음</x:v>
      </x:c>
      <x:c r="G8" s="43" t="str">
        <x:v>윤서준</x:v>
      </x:c>
      <x:c r="H8" s="43" t="str">
        <x:v>profile/E2E 실패 시 release 차단</x:v>
      </x:c>
      <x:c r="I8" s="43" t="str">
        <x:v>P0-00~05</x:v>
      </x:c>
      <x:c r="J8" s="43" t="str">
        <x:v>매일</x:v>
      </x:c>
      <x:c r="K8" s="44" t="str">
        <x:v>열림</x:v>
      </x:c>
    </x:row>
    <x:row r="9">
      <x:c r="A9" s="41" t="str">
        <x:v>R-05</x:v>
      </x:c>
      <x:c r="B9" s="43" t="str">
        <x:v>rollback 증적 없음</x:v>
      </x:c>
      <x:c r="C9" s="43" t="n">
        <x:v>2</x:v>
      </x:c>
      <x:c r="D9" s="43" t="n">
        <x:v>5</x:v>
      </x:c>
      <x:c r="E9" s="43" t="n">
        <x:f>C9*D9</x:f>
        <x:v>10</x:v>
      </x:c>
      <x:c r="F9" s="43" t="str">
        <x:f>IF(E9&gt;=12,"높음",IF(E9&gt;=6,"중간","낮음"))</x:f>
        <x:v>중간</x:v>
      </x:c>
      <x:c r="G9" s="43" t="str">
        <x:v>고준영</x:v>
      </x:c>
      <x:c r="H9" s="43" t="str">
        <x:v>restore drill 없으면 08-31 deploy 반려</x:v>
      </x:c>
      <x:c r="I9" s="43" t="str">
        <x:v>P0-10~11</x:v>
      </x:c>
      <x:c r="J9" s="43" t="str">
        <x:v>매일</x:v>
      </x:c>
      <x:c r="K9" s="44" t="str">
        <x:v>열림</x:v>
      </x:c>
    </x:row>
    <x:row r="10">
      <x:c r="A10" s="45" t="str">
        <x:v>R-06</x:v>
      </x:c>
      <x:c r="B10" s="46" t="str">
        <x:v>Email scope 충돌</x:v>
      </x:c>
      <x:c r="C10" s="46" t="n">
        <x:v>2</x:v>
      </x:c>
      <x:c r="D10" s="46" t="n">
        <x:v>3</x:v>
      </x:c>
      <x:c r="E10" s="46" t="n">
        <x:f>C10*D10</x:f>
        <x:v>6</x:v>
      </x:c>
      <x:c r="F10" s="46" t="str">
        <x:f>IF(E10&gt;=12,"높음",IF(E10&gt;=6,"중간","낮음"))</x:f>
        <x:v>중간</x:v>
      </x:c>
      <x:c r="G10" s="46" t="str">
        <x:v>육은서</x:v>
      </x:c>
      <x:c r="H10" s="46" t="str">
        <x:v>이번 P0=DEFER; M0 변경 승인 없이는 범위 추가 금지</x:v>
      </x:c>
      <x:c r="I10" s="46" t="str">
        <x:v>M0</x:v>
      </x:c>
      <x:c r="J10" s="46" t="str">
        <x:v>M0</x:v>
      </x:c>
      <x:c r="K10" s="47" t="str">
        <x:v>결정됨</x:v>
      </x:c>
    </x:row>
  </x:sheetData>
  <x:mergeCells>
    <x:mergeCell ref="A1:K1"/>
    <x:mergeCell ref="A2:K2"/>
  </x:mergeCells>
  <x:conditionalFormatting sqref="F5:F10">
    <x:cfRule type="containsText" dxfId="3" priority="1" operator="containsText" text="높음"/>
  </x:conditionalFormatting>
  <x:pageMargins left="0.7" right="0.7" top="0.75" bottom="0.75" header="0.3" footer="0.3"/>
  <x:tableParts count="1">
    <x:tablePart xmlns:r="http://schemas.openxmlformats.org/officeDocument/2006/relationships" r:id="Rfc8d0eb19f7742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34" hidden="0" customWidth="1"/>
    <x:col min="4" max="4" width="45" hidden="0" customWidth="1"/>
    <x:col min="5" max="5" width="34" hidden="0" customWidth="1"/>
    <x:col min="6" max="6" width="28" hidden="0" customWidth="1"/>
    <x:col min="7" max="7" width="24" hidden="0" customWidth="1"/>
    <x:col min="8" max="8" width="19" hidden="0" customWidth="1"/>
    <x:col min="9" max="9" width="10" hidden="0" customWidth="1"/>
    <x:col min="10" max="10" width="13" hidden="0" customWidth="1"/>
    <x:col min="11" max="11" width="10" hidden="0" customWidth="1"/>
  </x:cols>
  <x:sheetData>
    <x:row r="1" ht="30" customHeight="1">
      <x:c r="A1" s="3" t="str">
        <x:v>추적성·반대 근거·Open Question</x:v>
      </x:c>
    </x:row>
    <x:row r="2" ht="28" customHeight="1">
      <x:c r="A2" s="6" t="str">
        <x:v>각 P0는 Claim ID·출처 라인·반대 근거·증적 URI·상태를 가져야 하며 Retest-required는 P0 완료 근거가 될 수 없습니다.</x:v>
      </x:c>
    </x:row>
    <x:row r="4" ht="30" customHeight="1">
      <x:c r="A4" s="11" t="str">
        <x:v>Claim ID</x:v>
      </x:c>
      <x:c r="B4" s="11" t="str">
        <x:v>WBS</x:v>
      </x:c>
      <x:c r="C4" s="11" t="str">
        <x:v>출처·라인</x:v>
      </x:c>
      <x:c r="D4" s="11" t="str">
        <x:v>주장 / 적용 한계</x:v>
      </x:c>
      <x:c r="E4" s="11" t="str">
        <x:v>반대 근거 / 상태</x:v>
      </x:c>
      <x:c r="F4" s="11" t="str">
        <x:v>증적 URI·해시</x:v>
      </x:c>
      <x:c r="G4" s="11" t="str">
        <x:v>데이터셋/스냅샷</x:v>
      </x:c>
      <x:c r="H4" s="11" t="str">
        <x:v>관찰일/commit</x:v>
      </x:c>
      <x:c r="I4" s="11" t="str">
        <x:v>신뢰도</x:v>
      </x:c>
      <x:c r="J4" s="11" t="str">
        <x:v>Owner</x:v>
      </x:c>
      <x:c r="K4" s="11" t="str">
        <x:v>결정</x:v>
      </x:c>
    </x:row>
    <x:row r="5">
      <x:c r="A5" s="37" t="str">
        <x:v>CLM-Q-01</x:v>
      </x:c>
      <x:c r="B5" s="39" t="str">
        <x:v>P0-06~08</x:v>
      </x:c>
      <x:c r="C5" s="39" t="str">
        <x:v>진행상황-문제정의-2.md:18-34</x:v>
      </x:c>
      <x:c r="D5" s="39" t="str">
        <x:v>PIT·warm-up은 성과 방향을 바꿀 수 있음; 크기는 미측정</x:v>
      </x:c>
      <x:c r="E5" s="39" t="str">
        <x:v>실데이터 일반화 미확정 / Open</x:v>
      </x:c>
      <x:c r="F5" s="39" t="str">
        <x:v>evidence://pit-manifest#sha256</x:v>
      </x:c>
      <x:c r="G5" s="39" t="str">
        <x:v>immutable as-of snapshot</x:v>
      </x:c>
      <x:c r="H5" s="39" t="str">
        <x:v>2026-08-12/current</x:v>
      </x:c>
      <x:c r="I5" s="66" t="str">
        <x:v>0.95</x:v>
      </x:c>
      <x:c r="J5" s="39" t="str">
        <x:v>윤민호</x:v>
      </x:c>
      <x:c r="K5" s="40" t="str">
        <x:v>M2</x:v>
      </x:c>
    </x:row>
    <x:row r="6">
      <x:c r="A6" s="41" t="str">
        <x:v>CLM-Q-02</x:v>
      </x:c>
      <x:c r="B6" s="43" t="str">
        <x:v>P0-08</x:v>
      </x:c>
      <x:c r="C6" s="43" t="str">
        <x:v>진행상황-문제정의-2.md:35-43</x:v>
      </x:c>
      <x:c r="D6" s="43" t="str">
        <x:v>헤드라인은 IS 포함 및 후보 수 숨김</x:v>
      </x:c>
      <x:c r="E6" s="43" t="str">
        <x:v>OOS가 투자 성과 보장 아님 / Open</x:v>
      </x:c>
      <x:c r="F6" s="43" t="str">
        <x:v>evidence://oos-manifest#sha256</x:v>
      </x:c>
      <x:c r="G6" s="43" t="str">
        <x:v>holdout/eval set</x:v>
      </x:c>
      <x:c r="H6" s="43" t="str">
        <x:v>2026-08-12/current</x:v>
      </x:c>
      <x:c r="I6" s="67" t="str">
        <x:v>0.93</x:v>
      </x:c>
      <x:c r="J6" s="43" t="str">
        <x:v>육은서</x:v>
      </x:c>
      <x:c r="K6" s="44" t="str">
        <x:v>M2</x:v>
      </x:c>
    </x:row>
    <x:row r="7">
      <x:c r="A7" s="41" t="str">
        <x:v>CLM-Q-03</x:v>
      </x:c>
      <x:c r="B7" s="43" t="str">
        <x:v>P0-09</x:v>
      </x:c>
      <x:c r="C7" s="43" t="str">
        <x:v>진행상황-문제정의-2.md:46-119</x:v>
      </x:c>
      <x:c r="D7" s="43" t="str">
        <x:v>평가기·체결·리스크 의미론 불일치</x:v>
      </x:c>
      <x:c r="E7" s="43" t="str">
        <x:v>기존 개선은 commit/hash 없으면 Retest-required</x:v>
      </x:c>
      <x:c r="F7" s="43" t="str">
        <x:v>evidence://evaluator-parity#sha256</x:v>
      </x:c>
      <x:c r="G7" s="43" t="str">
        <x:v>cost/fill/regime dataset</x:v>
      </x:c>
      <x:c r="H7" s="43" t="str">
        <x:v>2026-08-12/current</x:v>
      </x:c>
      <x:c r="I7" s="67" t="str">
        <x:v>0.90</x:v>
      </x:c>
      <x:c r="J7" s="43" t="str">
        <x:v>육은서</x:v>
      </x:c>
      <x:c r="K7" s="44" t="str">
        <x:v>M2</x:v>
      </x:c>
    </x:row>
    <x:row r="8">
      <x:c r="A8" s="41" t="str">
        <x:v>CLM-P-01</x:v>
      </x:c>
      <x:c r="B8" s="43" t="str">
        <x:v>P0-03~04</x:v>
      </x:c>
      <x:c r="C8" s="43" t="str">
        <x:v>진행상황-문제정의-2.md:133-165</x:v>
      </x:c>
      <x:c r="D8" s="43" t="str">
        <x:v>상태·timeout·pool 구조가 운영 신뢰성 제한</x:v>
      </x:c>
      <x:c r="E8" s="43" t="str">
        <x:v>현 runtime 사실은 ADR로 확인 필요 / Open</x:v>
      </x:c>
      <x:c r="F8" s="43" t="str">
        <x:v>evidence://lifecycle#sha256</x:v>
      </x:c>
      <x:c r="G8" s="43" t="str">
        <x:v>bounded workload</x:v>
      </x:c>
      <x:c r="H8" s="43" t="str">
        <x:v>2026-08-12/current</x:v>
      </x:c>
      <x:c r="I8" s="67" t="str">
        <x:v>0.94</x:v>
      </x:c>
      <x:c r="J8" s="43" t="str">
        <x:v>윤서준</x:v>
      </x:c>
      <x:c r="K8" s="44" t="str">
        <x:v>M1</x:v>
      </x:c>
    </x:row>
    <x:row r="9">
      <x:c r="A9" s="45" t="str">
        <x:v>CLM-DEPLOY</x:v>
      </x:c>
      <x:c r="B9" s="46" t="str">
        <x:v>P0-00,P0-05,P0-10~11</x:v>
      </x:c>
      <x:c r="C9" s="46" t="str">
        <x:v>README.md:48-73; PROJECT_FLOW_AND_DEBT_GUIDE.md:545-591</x:v>
      </x:c>
      <x:c r="D9" s="46" t="str">
        <x:v>ingress/process/auth smoke/trace는 저장소만으로 확정 불가</x:v>
      </x:c>
      <x:c r="E9" s="46" t="str">
        <x:v>운영 권한·환경 미확정 / Open</x:v>
      </x:c>
      <x:c r="F9" s="46" t="str">
        <x:v>evidence://deploy-drill#sha256</x:v>
      </x:c>
      <x:c r="G9" s="46" t="str">
        <x:v>production-like env</x:v>
      </x:c>
      <x:c r="H9" s="46" t="str">
        <x:v>2026-08-12/current</x:v>
      </x:c>
      <x:c r="I9" s="68" t="str">
        <x:v>0.97</x:v>
      </x:c>
      <x:c r="J9" s="46" t="str">
        <x:v>고준영</x:v>
      </x:c>
      <x:c r="K9" s="47" t="str">
        <x:v>M3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5ee8e9f236a343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0" hidden="0" customWidth="1"/>
    <x:col min="5" max="5" width="32" hidden="0" customWidth="1"/>
    <x:col min="6" max="6" width="35" hidden="0" customWidth="1"/>
    <x:col min="7" max="7" width="18" hidden="0" customWidth="1"/>
    <x:col min="8" max="8" width="22" hidden="0" customWidth="1"/>
    <x:col min="9" max="9" width="12" hidden="0" customWidth="1"/>
  </x:cols>
  <x:sheetData>
    <x:row r="1" ht="30" customHeight="1">
      <x:c r="A1" s="3" t="str">
        <x:v>프로덕션 성숙도·갭</x:v>
      </x:c>
    </x:row>
    <x:row r="2" ht="28" customHeight="1">
      <x:c r="A2" s="6" t="str">
        <x:v>0=부재, 5=지속 측정·독립 감사. 점수는 기능·투자성과를 의미하지 않으며 P0 검증 증적에 의해 갱신합니다.</x:v>
      </x:c>
    </x:row>
    <x:row r="4" ht="30" customHeight="1">
      <x:c r="A4" s="11" t="str">
        <x:v>성숙도 축</x:v>
      </x:c>
      <x:c r="B4" s="11" t="str">
        <x:v>현재</x:v>
      </x:c>
      <x:c r="C4" s="11" t="str">
        <x:v>목표</x:v>
      </x:c>
      <x:c r="D4" s="11" t="str">
        <x:v>Gap</x:v>
      </x:c>
      <x:c r="E4" s="11" t="str">
        <x:v>근거/비교 기준</x:v>
      </x:c>
      <x:c r="F4" s="11" t="str">
        <x:v>반대 주장·한계</x:v>
      </x:c>
      <x:c r="G4" s="11" t="str">
        <x:v>WBS</x:v>
      </x:c>
      <x:c r="H4" s="11" t="str">
        <x:v>재평가 증적</x:v>
      </x:c>
      <x:c r="I4" s="11" t="str">
        <x:v>상태</x:v>
      </x:c>
    </x:row>
    <x:row r="5">
      <x:c r="A5" s="37" t="str">
        <x:v>재현성</x:v>
      </x:c>
      <x:c r="B5" s="39" t="n">
        <x:v>2</x:v>
      </x:c>
      <x:c r="C5" s="39" t="n">
        <x:v>4</x:v>
      </x:c>
      <x:c r="D5" s="39" t="n">
        <x:f>C5-B5</x:f>
        <x:v>2</x:v>
      </x:c>
      <x:c r="E5" s="39" t="str">
        <x:v>fixture profile vs Backtrader 재실행 모델</x:v>
      </x:c>
      <x:c r="F5" s="39" t="str">
        <x:v>재실행이 실데이터 재현을 보장하지 않음</x:v>
      </x:c>
      <x:c r="G5" s="39" t="str">
        <x:v>P0-06~08</x:v>
      </x:c>
      <x:c r="H5" s="39" t="str">
        <x:v>manifest/hash</x:v>
      </x:c>
      <x:c r="I5" s="40" t="str">
        <x:v>Open</x:v>
      </x:c>
    </x:row>
    <x:row r="6">
      <x:c r="A6" s="41" t="str">
        <x:v>신뢰성</x:v>
      </x:c>
      <x:c r="B6" s="43" t="n">
        <x:v>1</x:v>
      </x:c>
      <x:c r="C6" s="43" t="n">
        <x:v>4</x:v>
      </x:c>
      <x:c r="D6" s="43" t="n">
        <x:f>C6-B6</x:f>
        <x:v>3</x:v>
      </x:c>
      <x:c r="E6" s="43" t="str">
        <x:v>단일 프로세스 상태 vs Temporal durable execution</x:v>
      </x:c>
      <x:c r="F6" s="43" t="str">
        <x:v>도입 자체가 durable 보장 아님</x:v>
      </x:c>
      <x:c r="G6" s="43" t="str">
        <x:v>P0-03~05</x:v>
      </x:c>
      <x:c r="H6" s="43" t="str">
        <x:v>restart/idempotency</x:v>
      </x:c>
      <x:c r="I6" s="44" t="str">
        <x:v>Open</x:v>
      </x:c>
    </x:row>
    <x:row r="7">
      <x:c r="A7" s="41" t="str">
        <x:v>보안</x:v>
      </x:c>
      <x:c r="B7" s="43" t="n">
        <x:v>2</x:v>
      </x:c>
      <x:c r="C7" s="43" t="n">
        <x:v>3</x:v>
      </x:c>
      <x:c r="D7" s="43" t="n">
        <x:f>C7-B7</x:f>
        <x:v>1</x:v>
      </x:c>
      <x:c r="E7" s="43" t="str">
        <x:v>envelope 분리 vs OWASP ASVS</x:v>
      </x:c>
      <x:c r="F7" s="43" t="str">
        <x:v>격리는 비밀관리/취약점 제거 대체 불가</x:v>
      </x:c>
      <x:c r="G7" s="43" t="str">
        <x:v>P0-03~04</x:v>
      </x:c>
      <x:c r="H7" s="43" t="str">
        <x:v>auth/isolation</x:v>
      </x:c>
      <x:c r="I7" s="44" t="str">
        <x:v>Open</x:v>
      </x:c>
    </x:row>
    <x:row r="8">
      <x:c r="A8" s="41" t="str">
        <x:v>관측성</x:v>
      </x:c>
      <x:c r="B8" s="43" t="n">
        <x:v>1</x:v>
      </x:c>
      <x:c r="C8" s="43" t="n">
        <x:v>4</x:v>
      </x:c>
      <x:c r="D8" s="43" t="n">
        <x:f>C8-B8</x:f>
        <x:v>3</x:v>
      </x:c>
      <x:c r="E8" s="43" t="str">
        <x:v>계측 부재 vs OpenTelemetry traces</x:v>
      </x:c>
      <x:c r="F8" s="43" t="str">
        <x:v>trace만으로 SLO 충족 증명 불가</x:v>
      </x:c>
      <x:c r="G8" s="43" t="str">
        <x:v>P0-05,P0-10</x:v>
      </x:c>
      <x:c r="H8" s="43" t="str">
        <x:v>trace/SLO</x:v>
      </x:c>
      <x:c r="I8" s="44" t="str">
        <x:v>Open</x:v>
      </x:c>
    </x:row>
    <x:row r="9">
      <x:c r="A9" s="41" t="str">
        <x:v>AI 평가</x:v>
      </x:c>
      <x:c r="B9" s="43" t="n">
        <x:v>1</x:v>
      </x:c>
      <x:c r="C9" s="43" t="n">
        <x:v>4</x:v>
      </x:c>
      <x:c r="D9" s="43" t="n">
        <x:f>C9-B9</x:f>
        <x:v>3</x:v>
      </x:c>
      <x:c r="E9" s="43" t="str">
        <x:v>72-window 실험 vs NIST AI RMF</x:v>
      </x:c>
      <x:c r="F9" s="43" t="str">
        <x:v>OOS는 투자 결과 보장 아님</x:v>
      </x:c>
      <x:c r="G9" s="43" t="str">
        <x:v>P0-08~09</x:v>
      </x:c>
      <x:c r="H9" s="43" t="str">
        <x:v>PBO/CSCV/holdout</x:v>
      </x:c>
      <x:c r="I9" s="44" t="str">
        <x:v>Open</x:v>
      </x:c>
    </x:row>
    <x:row r="10">
      <x:c r="A10" s="41" t="str">
        <x:v>UX/audit</x:v>
      </x:c>
      <x:c r="B10" s="43" t="n">
        <x:v>2</x:v>
      </x:c>
      <x:c r="C10" s="43" t="n">
        <x:v>4</x:v>
      </x:c>
      <x:c r="D10" s="43" t="n">
        <x:f>C10-B10</x:f>
        <x:v>2</x:v>
      </x:c>
      <x:c r="E10" s="43" t="str">
        <x:v>FE 노출 vs provenance/error 계약</x:v>
      </x:c>
      <x:c r="F10" s="43" t="str">
        <x:v>라벨은 데이터 통제 아님</x:v>
      </x:c>
      <x:c r="G10" s="43" t="str">
        <x:v>P0-03,P0-05</x:v>
      </x:c>
      <x:c r="H10" s="43" t="str">
        <x:v>E2E capture</x:v>
      </x:c>
      <x:c r="I10" s="44" t="str">
        <x:v>Open</x:v>
      </x:c>
    </x:row>
    <x:row r="11">
      <x:c r="A11" s="41" t="str">
        <x:v>DX</x:v>
      </x:c>
      <x:c r="B11" s="43" t="n">
        <x:v>2</x:v>
      </x:c>
      <x:c r="C11" s="43" t="n">
        <x:v>4</x:v>
      </x:c>
      <x:c r="D11" s="43" t="n">
        <x:f>C11-B11</x:f>
        <x:v>2</x:v>
      </x:c>
      <x:c r="E11" s="43" t="str">
        <x:v>중복 경로/계약 소유 부채</x:v>
      </x:c>
      <x:c r="F11" s="43" t="str">
        <x:v>삭제가 계약 안정성 자동 보장 안 함</x:v>
      </x:c>
      <x:c r="G11" s="43" t="str">
        <x:v>P0-01~02</x:v>
      </x:c>
      <x:c r="H11" s="43" t="str">
        <x:v>contract tests</x:v>
      </x:c>
      <x:c r="I11" s="44" t="str">
        <x:v>Open</x:v>
      </x:c>
    </x:row>
    <x:row r="12">
      <x:c r="A12" s="45" t="str">
        <x:v>릴리스 거버넌스</x:v>
      </x:c>
      <x:c r="B12" s="46" t="n">
        <x:v>2</x:v>
      </x:c>
      <x:c r="C12" s="46" t="n">
        <x:v>4</x:v>
      </x:c>
      <x:c r="D12" s="46" t="n">
        <x:f>C12-B12</x:f>
        <x:v>2</x:v>
      </x:c>
      <x:c r="E12" s="46" t="str">
        <x:v>CI 이슈봇 vs rollback rehearsal</x:v>
      </x:c>
      <x:c r="F12" s="46" t="str">
        <x:v>문서만으로 복구 가능성 증명 안 됨</x:v>
      </x:c>
      <x:c r="G12" s="46" t="str">
        <x:v>P0-10~11</x:v>
      </x:c>
      <x:c r="H12" s="46" t="str">
        <x:v>restore log</x:v>
      </x:c>
      <x:c r="I12" s="47" t="str">
        <x:v>Open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3d51d2f5a0040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42" hidden="0" customWidth="1"/>
    <x:col min="4" max="4" width="22" hidden="0" customWidth="1"/>
    <x:col min="5" max="5" width="30" hidden="0" customWidth="1"/>
    <x:col min="6" max="6" width="23" hidden="0" customWidth="1"/>
    <x:col min="7" max="7" width="13" hidden="0" customWidth="1"/>
    <x:col min="8" max="8" width="22" hidden="0" customWidth="1"/>
    <x:col min="9" max="9" width="25" hidden="0" customWidth="1"/>
    <x:col min="10" max="10" width="23" hidden="0" customWidth="1"/>
    <x:col min="11" max="11" width="11" hidden="0" customWidth="1"/>
    <x:col min="12" max="12" width="22" hidden="0" customWidth="1"/>
  </x:cols>
  <x:sheetData>
    <x:row r="1" ht="30" customHeight="1">
      <x:c r="A1" s="3" t="str">
        <x:v>P0 검증 계약</x:v>
      </x:c>
    </x:row>
    <x:row r="2" ht="28" customHeight="1">
      <x:c r="A2" s="6" t="str">
        <x:v>명령·환경·통과 임계값·증적 URI·승인자·실패/rollback 조건이 모두 채워져야 P0 완료입니다. 명령은 실행 전 실제 환경에 맞게 승인·갱신합니다.</x:v>
      </x:c>
    </x:row>
    <x:row r="4" ht="30" customHeight="1">
      <x:c r="A4" s="11" t="str">
        <x:v>Verification ID</x:v>
      </x:c>
      <x:c r="B4" s="11" t="str">
        <x:v>WBS</x:v>
      </x:c>
      <x:c r="C4" s="11" t="str">
        <x:v>검증 방법/명령</x:v>
      </x:c>
      <x:c r="D4" s="11" t="str">
        <x:v>환경</x:v>
      </x:c>
      <x:c r="E4" s="11" t="str">
        <x:v>통과 임계값</x:v>
      </x:c>
      <x:c r="F4" s="11" t="str">
        <x:v>증적 URI</x:v>
      </x:c>
      <x:c r="G4" s="11" t="str">
        <x:v>승인자</x:v>
      </x:c>
      <x:c r="H4" s="11" t="str">
        <x:v>실패 조건</x:v>
      </x:c>
      <x:c r="I4" s="11" t="str">
        <x:v>Rollback 조건</x:v>
      </x:c>
      <x:c r="J4" s="11" t="str">
        <x:v>Claim ID</x:v>
      </x:c>
      <x:c r="K4" s="11" t="str">
        <x:v>상태</x:v>
      </x:c>
      <x:c r="L4" s="11" t="str">
        <x:v>비고</x:v>
      </x:c>
    </x:row>
    <x:row r="5">
      <x:c r="A5" s="37" t="str">
        <x:v>V-ARCH-01</x:v>
      </x:c>
      <x:c r="B5" s="39" t="str">
        <x:v>P0-00~05</x:v>
      </x:c>
      <x:c r="C5" s="39" t="str">
        <x:v>pytest 대상 + 인증 E2E + trace 확인</x:v>
      </x:c>
      <x:c r="D5" s="39" t="str">
        <x:v>staging/production-like</x:v>
      </x:c>
      <x:c r="E5" s="39" t="str">
        <x:v>canonical path 1개; orphan/duplicate 0; trace 100%</x:v>
      </x:c>
      <x:c r="F5" s="39" t="str">
        <x:v>evidence://V-ARCH-01</x:v>
      </x:c>
      <x:c r="G5" s="39" t="str">
        <x:v>조은채</x:v>
      </x:c>
      <x:c r="H5" s="39" t="str">
        <x:v>명령 실패/trace 누락</x:v>
      </x:c>
      <x:c r="I5" s="39" t="str">
        <x:v>변경 배포 중단·직전 안정 revision 복귀</x:v>
      </x:c>
      <x:c r="J5" s="39" t="str">
        <x:v>CLM-A-01,CLM-DEPLOY</x:v>
      </x:c>
      <x:c r="K5" s="39" t="str">
        <x:v>미착수</x:v>
      </x:c>
      <x:c r="L5" s="40" t="str">
        <x:v>실제 명령은 ADR 승인 후 고정</x:v>
      </x:c>
    </x:row>
    <x:row r="6">
      <x:c r="A6" s="41" t="str">
        <x:v>V-DATA-01</x:v>
      </x:c>
      <x:c r="B6" s="43" t="str">
        <x:v>P0-06~07</x:v>
      </x:c>
      <x:c r="C6" s="43" t="str">
        <x:v>as-of manifest 비교·lineage hash·freshness check</x:v>
      </x:c>
      <x:c r="D6" s="43" t="str">
        <x:v>immutable snapshot</x:v>
      </x:c>
      <x:c r="E6" s="43" t="str">
        <x:v>snapshot/hash 100%; freshness SLO 충족</x:v>
      </x:c>
      <x:c r="F6" s="43" t="str">
        <x:v>evidence://V-DATA-01</x:v>
      </x:c>
      <x:c r="G6" s="43" t="str">
        <x:v>조은채</x:v>
      </x:c>
      <x:c r="H6" s="43" t="str">
        <x:v>manifest/hash/freshness 공백</x:v>
      </x:c>
      <x:c r="I6" s="43" t="str">
        <x:v>추천/성과 노출 차단</x:v>
      </x:c>
      <x:c r="J6" s="43" t="str">
        <x:v>CLM-Q-01</x:v>
      </x:c>
      <x:c r="K6" s="43" t="str">
        <x:v>미착수</x:v>
      </x:c>
      <x:c r="L6" s="44" t="str"/>
    </x:row>
    <x:row r="7">
      <x:c r="A7" s="41" t="str">
        <x:v>V-QUANT-01</x:v>
      </x:c>
      <x:c r="B7" s="43" t="str">
        <x:v>P0-08</x:v>
      </x:c>
      <x:c r="C7" s="43" t="str">
        <x:v>longest-window fixture + pseudo-OOS/walk-forward + PBO/CSCV</x:v>
      </x:c>
      <x:c r="D7" s="43" t="str">
        <x:v>versioned eval/holdout</x:v>
      </x:c>
      <x:c r="E7" s="43" t="str">
        <x:v>warm-up 신호 0; IS 제외; 방법/결과/한계 기록</x:v>
      </x:c>
      <x:c r="F7" s="43" t="str">
        <x:v>evidence://V-QUANT-01</x:v>
      </x:c>
      <x:c r="G7" s="43" t="str">
        <x:v>조은채</x:v>
      </x:c>
      <x:c r="H7" s="43" t="str">
        <x:v>IS 포함/방법 미정</x:v>
      </x:c>
      <x:c r="I7" s="43" t="str">
        <x:v>헤드라인 숨김·retest</x:v>
      </x:c>
      <x:c r="J7" s="43" t="str">
        <x:v>CLM-Q-01,CLM-Q-02</x:v>
      </x:c>
      <x:c r="K7" s="43" t="str">
        <x:v>미착수</x:v>
      </x:c>
      <x:c r="L7" s="44" t="str"/>
    </x:row>
    <x:row r="8">
      <x:c r="A8" s="41" t="str">
        <x:v>V-QUANT-02</x:v>
      </x:c>
      <x:c r="B8" s="43" t="str">
        <x:v>P0-09</x:v>
      </x:c>
      <x:c r="C8" s="43" t="str">
        <x:v>evaluator parity·benchmark·fill/cost·regime slice</x:v>
      </x:c>
      <x:c r="D8" s="43" t="str">
        <x:v>versioned cost/fill dataset</x:v>
      </x:c>
      <x:c r="E8" s="43" t="str">
        <x:v>정의 불일치 0; benchmark/cost/regime 결과 공개</x:v>
      </x:c>
      <x:c r="F8" s="43" t="str">
        <x:v>evidence://V-QUANT-02</x:v>
      </x:c>
      <x:c r="G8" s="43" t="str">
        <x:v>조은채</x:v>
      </x:c>
      <x:c r="H8" s="43" t="str">
        <x:v>parity 불일치</x:v>
      </x:c>
      <x:c r="I8" s="43" t="str">
        <x:v>추천 차단·변경 롤백</x:v>
      </x:c>
      <x:c r="J8" s="43" t="str">
        <x:v>CLM-Q-03</x:v>
      </x:c>
      <x:c r="K8" s="43" t="str">
        <x:v>미착수</x:v>
      </x:c>
      <x:c r="L8" s="44" t="str"/>
    </x:row>
    <x:row r="9">
      <x:c r="A9" s="41" t="str">
        <x:v>V-OPS-01</x:v>
      </x:c>
      <x:c r="B9" s="43" t="str">
        <x:v>P0-10</x:v>
      </x:c>
      <x:c r="C9" s="43" t="str">
        <x:v>latency/RSS/cost/load·forward/paper observation</x:v>
      </x:c>
      <x:c r="D9" s="43" t="str">
        <x:v>authenticated staging</x:v>
      </x:c>
      <x:c r="E9" s="43" t="str">
        <x:v>p50/p95/RSS/cost/freshness threshold와 alert 기록</x:v>
      </x:c>
      <x:c r="F9" s="43" t="str">
        <x:v>evidence://V-OPS-01</x:v>
      </x:c>
      <x:c r="G9" s="43" t="str">
        <x:v>조은채</x:v>
      </x:c>
      <x:c r="H9" s="43" t="str">
        <x:v>SLO/alert 미검증</x:v>
      </x:c>
      <x:c r="I9" s="43" t="str">
        <x:v>deploy 금지</x:v>
      </x:c>
      <x:c r="J9" s="43" t="str">
        <x:v>CLM-P-02</x:v>
      </x:c>
      <x:c r="K9" s="43" t="str">
        <x:v>미착수</x:v>
      </x:c>
      <x:c r="L9" s="44" t="str"/>
    </x:row>
    <x:row r="10">
      <x:c r="A10" s="45" t="str">
        <x:v>V-REL-01</x:v>
      </x:c>
      <x:c r="B10" s="46" t="str">
        <x:v>P0-11,D-01</x:v>
      </x:c>
      <x:c r="C10" s="46" t="str">
        <x:v>migration·restore·rollback drill + authenticated smoke</x:v>
      </x:c>
      <x:c r="D10" s="46" t="str">
        <x:v>08-31 deploy window</x:v>
      </x:c>
      <x:c r="E10" s="46" t="str">
        <x:v>restore log·RTO·smoke·승인 서명</x:v>
      </x:c>
      <x:c r="F10" s="46" t="str">
        <x:v>evidence://V-REL-01</x:v>
      </x:c>
      <x:c r="G10" s="46" t="str">
        <x:v>육은서</x:v>
      </x:c>
      <x:c r="H10" s="46" t="str">
        <x:v>restore/smoke 실패</x:v>
      </x:c>
      <x:c r="I10" s="46" t="str">
        <x:v>즉시 rollback-only</x:v>
      </x:c>
      <x:c r="J10" s="46" t="str">
        <x:v>CLM-DEPLOY</x:v>
      </x:c>
      <x:c r="K10" s="46" t="str">
        <x:v>미착수</x:v>
      </x:c>
      <x:c r="L10" s="47" t="str">
        <x:v>개발 금지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383c4ed836d14c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56" hidden="0" customWidth="1"/>
    <x:col min="4" max="4" width="4" hidden="0" customWidth="1"/>
    <x:col min="5" max="5" width="20" hidden="0" customWidth="1"/>
    <x:col min="6" max="6" width="18" hidden="0" customWidth="1"/>
    <x:col min="7" max="7" width="30" hidden="0" customWidth="1"/>
    <x:col min="8" max="8" width="4" hidden="0" customWidth="1"/>
  </x:cols>
  <x:sheetData>
    <x:row r="1" ht="30" customHeight="1">
      <x:c r="A1" s="3" t="str">
        <x:v>README — 사용 규칙 및 Source of Truth</x:v>
      </x:c>
    </x:row>
    <x:row r="2" ht="28" customHeight="1">
      <x:c r="A2" s="6" t="str">
        <x:v>이 파일은 기존 12주/역할 기반 파일을 대체하는 19일 프로덕션 준비 WBS입니다. 개발은 8/12~8/30, 8/31은 배포·롤백 전용입니다.</x:v>
      </x:c>
    </x:row>
    <x:row r="4" ht="30" customHeight="1">
      <x:c r="A4" s="11" t="str">
        <x:v>항목</x:v>
      </x:c>
      <x:c r="B4" s="11" t="str">
        <x:v>값</x:v>
      </x:c>
      <x:c r="C4" s="11" t="str">
        <x:v>운영 규칙</x:v>
      </x:c>
      <x:c r="D4" s="11" t="str"/>
      <x:c r="E4" s="11" t="str">
        <x:v>검증 요약</x:v>
      </x:c>
      <x:c r="F4" s="11" t="str">
        <x:v>값</x:v>
      </x:c>
      <x:c r="G4" s="11" t="str">
        <x:v>판정</x:v>
      </x:c>
      <x:c r="H4" s="11" t="str"/>
    </x:row>
    <x:row r="5">
      <x:c r="A5" s="37" t="str">
        <x:v>Source of Truth</x:v>
      </x:c>
      <x:c r="B5" s="39" t="str">
        <x:v>본 WBS</x:v>
      </x:c>
      <x:c r="C5" s="40" t="str">
        <x:v>기존 WBS는 참조용(v1)으로 superseded</x:v>
      </x:c>
      <x:c r="F5" s="37" t="str">
        <x:v>P0 작업 수</x:v>
      </x:c>
      <x:c r="G5" s="40" t="n">
        <x:f>COUNTIF('WBS'!$K$5:$K$19,"P0")</x:f>
        <x:v>15</x:v>
      </x:c>
    </x:row>
    <x:row r="6">
      <x:c r="A6" s="41" t="str">
        <x:v>개발 창</x:v>
      </x:c>
      <x:c r="B6" s="43" t="str">
        <x:v>2026-08-12~2026-08-30</x:v>
      </x:c>
      <x:c r="C6" s="44" t="str">
        <x:v>8/31 신규 개발 금지</x:v>
      </x:c>
      <x:c r="F6" s="41" t="str">
        <x:v>차단 작업 수</x:v>
      </x:c>
      <x:c r="G6" s="44" t="n">
        <x:f>COUNTIF('WBS'!$J$5:$J$19,"차단")</x:f>
        <x:v>0</x:v>
      </x:c>
    </x:row>
    <x:row r="7">
      <x:c r="A7" s="41" t="str">
        <x:v>배포/롤백일</x:v>
      </x:c>
      <x:c r="B7" s="43" t="str">
        <x:v>2026-08-31</x:v>
      </x:c>
      <x:c r="C7" s="44" t="str">
        <x:v>배포·인증 smoke·rollback readiness만 실행</x:v>
      </x:c>
      <x:c r="F7" s="41" t="str">
        <x:v>높음 위험 수</x:v>
      </x:c>
      <x:c r="G7" s="44" t="n">
        <x:f>COUNTIF('Risks'!$F$5:$F$10,"높음")</x:f>
        <x:v>4</x:v>
      </x:c>
    </x:row>
    <x:row r="8">
      <x:c r="A8" s="41" t="str">
        <x:v>실명 담당</x:v>
      </x:c>
      <x:c r="B8" s="43" t="str">
        <x:v>육은서·윤서준·윤민호·조은채·고준영</x:v>
      </x:c>
      <x:c r="C8" s="44" t="str">
        <x:v>Owner/Backup/용량 경고는 설정·WBS에서 관리</x:v>
      </x:c>
      <x:c r="F8" s="41" t="str">
        <x:v>개발 종료일</x:v>
      </x:c>
      <x:c r="G8" s="69" t="n">
        <x:f>'설정'!$B$6</x:f>
        <x:v>46264</x:v>
      </x:c>
    </x:row>
    <x:row r="9">
      <x:c r="A9" s="41" t="str">
        <x:v>Email 결정</x:v>
      </x:c>
      <x:c r="B9" s="43" t="str">
        <x:v>DEFER</x:v>
      </x:c>
      <x:c r="C9" s="44" t="str">
        <x:v>P0 출시 게이트 제외; 범위 변경은 M0 PM 승인 필요</x:v>
      </x:c>
      <x:c r="F9" s="41" t="str">
        <x:v>배포 전용일</x:v>
      </x:c>
      <x:c r="G9" s="69" t="n">
        <x:f>'설정'!$B$7</x:f>
        <x:v>46265</x:v>
      </x:c>
    </x:row>
    <x:row r="10">
      <x:c r="A10" s="41" t="str">
        <x:v>P0 완료 정의</x:v>
      </x:c>
      <x:c r="B10" s="43" t="str">
        <x:v>QA 증적 수용</x:v>
      </x:c>
      <x:c r="C10" s="44" t="str">
        <x:v>증적 URI/해시·승인자·rollback 조건 필수</x:v>
      </x:c>
      <x:c r="F10" s="41" t="str">
        <x:v>수식 건강</x:v>
      </x:c>
      <x:c r="G10" s="44" t="str">
        <x:f>IF(COUNTIF('WBS'!$A$5:$A$19,"#REF!")=0,"OK","점검")</x:f>
        <x:v>OK</x:v>
      </x:c>
    </x:row>
    <x:row r="11">
      <x:c r="A11" s="41" t="str">
        <x:v>반대 근거</x:v>
      </x:c>
      <x:c r="B11" s="43" t="str">
        <x:v>Traceability</x:v>
      </x:c>
      <x:c r="C11" s="44" t="str">
        <x:v>Open/Retest-required는 완료 근거가 아님</x:v>
      </x:c>
      <x:c r="F11" s="45" t="str">
        <x:v>Email 범위</x:v>
      </x:c>
      <x:c r="G11" s="47" t="str">
        <x:f>'설정'!$B$10</x:f>
        <x:v>DEFER</x:v>
      </x:c>
    </x:row>
    <x:row r="12">
      <x:c r="A12" s="45" t="str">
        <x:v>성숙도</x:v>
      </x:c>
      <x:c r="B12" s="46" t="str">
        <x:v>Maturity</x:v>
      </x:c>
      <x:c r="C12" s="47" t="str">
        <x:v>8축 현재·목표·gap 및 재평가 증적 관리</x:v>
      </x:c>
    </x:row>
  </x:sheetData>
  <x:mergeCells>
    <x:mergeCell ref="A1:H1"/>
    <x:mergeCell ref="A2:H2"/>
  </x:mergeCells>
  <x:conditionalFormatting sqref="G10:G10">
    <x:cfRule type="containsText" dxfId="4" priority="1" operator="containsText" text="OK"/>
  </x:conditionalFormatting>
  <x:pageMargins left="0.7" right="0.7" top="0.75" bottom="0.75" header="0.3" footer="0.3"/>
</x:worksheet>
</file>