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afdb6878e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bcf13678cd8f44f5"/>
    <x:sheet xmlns:r="http://schemas.openxmlformats.org/officeDocument/2006/relationships" name="설정_목록" sheetId="2" r:id="R8a61a46b2594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1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201" fontId="9" fillId="2" borderId="0" xfId="0" applyNumberFormat="1" applyFont="1" applyFill="1" applyBorder="1"/>
    <x:xf numFmtId="201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202" fontId="11" fillId="7" borderId="0" xfId="0" applyNumberFormat="1" applyFont="1" applyFill="1" applyBorder="1"/>
    <x:xf numFmtId="202" fontId="1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4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4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5" fillId="9" borderId="3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vertical="center" wrapText="1"/>
    </x:xf>
    <x:xf numFmtId="201" fontId="16" fillId="5" borderId="6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7" fillId="9" borderId="3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7cc751dba4103" /><Relationship Type="http://schemas.openxmlformats.org/officeDocument/2006/relationships/theme" Target="/xl/theme/theme1.xml" Id="R4addc87ec6df4b57" /><Relationship Type="http://schemas.openxmlformats.org/officeDocument/2006/relationships/sharedStrings" Target="/xl/sharedStrings.xml" Id="R34b034b2dbcc4234" /><Relationship Type="http://schemas.openxmlformats.org/officeDocument/2006/relationships/worksheet" Target="/xl/worksheets/sheet1.xml" Id="Rbcf13678cd8f44f5" /><Relationship Type="http://schemas.openxmlformats.org/officeDocument/2006/relationships/worksheet" Target="/xl/worksheets/sheet2.xml" Id="R8a61a46b259442b0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787817a80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30" customHeight="1">
      <x:c r="A1" s="57" t="str">
        <x:v>○ QuantAgent 프로덕션 준비 — WBS MASTER</x:v>
      </x:c>
    </x:row>
    <x:row r="2">
      <x:c r="A2" s="60" t="str">
        <x:v>기준일</x:v>
      </x:c>
      <x:c r="E2" s="63" t="n">
        <x:v>46246</x:v>
      </x:c>
      <x:c r="H2" s="60" t="str">
        <x:v>고정 개발창</x:v>
      </x:c>
      <x:c r="L2" s="65" t="str">
        <x:v>2026-08-12 ~ 2026-08-30</x:v>
      </x:c>
      <x:c r="O2" s="60" t="str">
        <x:v>배포 전용일</x:v>
      </x:c>
      <x:c r="Q2" s="67" t="n">
        <x:v>46265</x:v>
      </x:c>
      <x:c r="T2" s="60" t="str">
        <x:v>Email 범위</x:v>
      </x:c>
      <x:c r="V2" s="65" t="str">
        <x:f>'설정_목록'!$M$4</x:f>
        <x:v>DEFER</x:v>
      </x:c>
    </x:row>
    <x:row r="4">
      <x:c r="A4" t="str">
        <x:v>전체 진척률</x:v>
      </x:c>
      <x:c r="D4" s="71" t="n">
        <x:f>AVERAGE($R$8:$R$24)</x:f>
        <x:v>0</x:v>
      </x:c>
      <x:c r="G4" t="str">
        <x:v>P0 차단 수</x:v>
      </x:c>
      <x:c r="J4" s="74" t="n">
        <x:f>COUNTIFS($S$8:$S$24,"P0",$P$8:$P$24,"차단")</x:f>
        <x:v>0</x:v>
      </x:c>
      <x:c r="M4" t="str">
        <x:v>용량 과부하 수</x:v>
      </x:c>
      <x:c r="P4" s="76" t="n">
        <x:f>COUNTIF($O$8:$O$24,"과부하")</x:f>
        <x:v>0</x:v>
      </x:c>
      <x:c r="S4" t="str">
        <x:v>08-31 개발 위반</x:v>
      </x:c>
      <x:c r="V4" s="74" t="n">
        <x:f>COUNTIFS($I$8:$I$24,'설정_목록'!$M$5,$E$8:$E$24,"&lt;&gt;배포 전용")</x:f>
        <x:v>0</x:v>
      </x:c>
    </x:row>
    <x:row r="5">
      <x:c r="A5" s="78" t="str"/>
      <x:c r="B5" s="78" t="str"/>
      <x:c r="C5" s="78" t="str"/>
      <x:c r="D5" s="78" t="str"/>
      <x:c r="E5" s="78" t="str"/>
      <x:c r="F5" s="78" t="str"/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/>
      <x:c r="M5" s="78" t="str"/>
      <x:c r="N5" s="78" t="str"/>
      <x:c r="O5" s="78" t="str"/>
      <x:c r="P5" s="78" t="str"/>
      <x:c r="Q5" s="78" t="str"/>
      <x:c r="R5" s="78" t="str"/>
      <x:c r="S5" s="78" t="str"/>
      <x:c r="T5" s="78" t="str"/>
      <x:c r="U5" s="78" t="str"/>
      <x:c r="V5" s="78" t="str"/>
      <x:c r="W5" s="78" t="str">
        <x:v>검증 계약·증적</x:v>
      </x:c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>
        <x:v>성숙도·반대 근거</x:v>
      </x:c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85" t="str">
        <x:v>Level0</x:v>
      </x:c>
      <x:c r="B8" s="86" t="str"/>
      <x:c r="C8" s="86" t="str">
        <x:v>프로덕션 준비</x:v>
      </x:c>
      <x:c r="D8" s="86" t="str"/>
      <x:c r="E8" s="86" t="str">
        <x:v>QuantAgent 프로덕션 준비 프로그램</x:v>
      </x:c>
      <x:c r="F8" s="86" t="str">
        <x:v>육은서</x:v>
      </x:c>
      <x:c r="G8" s="86" t="str">
        <x:v>조은채</x:v>
      </x:c>
      <x:c r="H8" s="105" t="n">
        <x:f>$E$2+0</x:f>
        <x:v>46246</x:v>
      </x:c>
      <x:c r="I8" s="105" t="n">
        <x:f>$E$2+18</x:f>
        <x:v>46264</x:v>
      </x:c>
      <x:c r="J8" s="105" t="str"/>
      <x:c r="K8" s="105" t="str"/>
      <x:c r="L8" s="106" t="n">
        <x:f>NETWORKDAYS(H8,I8)</x:f>
        <x:v>13</x:v>
      </x:c>
      <x:c r="M8" s="106" t="str">
        <x:f>IF(OR(J8="",K8=""),"",NETWORKDAYS(J8,K8))</x:f>
      </x:c>
      <x:c r="N8" s="111" t="n">
        <x:v>0</x:v>
      </x:c>
      <x:c r="O8" s="86" t="str">
        <x:f>IF(F8="","",IF(N8&gt;SUMIF('설정_목록'!$E$4:$E$8,F8,'설정_목록'!$I$4:$I$8),"과부하","정상"))</x:f>
        <x:v>정상</x:v>
      </x:c>
      <x:c r="P8" s="86" t="str">
        <x:v>진행 중</x:v>
      </x:c>
      <x:c r="Q8" s="101" t="n">
        <x:f>IF(TODAY()&lt;H8,0,IF(TODAY()&gt;I8,1,(TODAY()-H8+1)/(I8-H8+1)))</x:f>
        <x:v>0.05263157894736842</x:v>
      </x:c>
      <x:c r="R8" s="101" t="n">
        <x:v>0</x:v>
      </x:c>
      <x:c r="S8" s="86" t="str">
        <x:v>P0</x:v>
      </x:c>
      <x:c r="T8" s="86" t="str">
        <x:v>R-01~06</x:v>
      </x:c>
      <x:c r="U8" s="86" t="str">
        <x:v>CLM-*</x:v>
      </x:c>
      <x:c r="V8" s="86" t="str">
        <x:v>.omx/plans/quantagent-wbs-v2/</x:v>
      </x:c>
      <x:c r="W8" s="86" t="str">
        <x:v>P0 증적 수용·위험 수용·08-31 배포 승인</x:v>
      </x:c>
      <x:c r="X8" s="86" t="str"/>
      <x:c r="Y8" s="86" t="str"/>
      <x:c r="Z8" s="86" t="str"/>
      <x:c r="AA8" s="86" t="str"/>
      <x:c r="AB8" s="86" t="str"/>
      <x:c r="AC8" s="86" t="str">
        <x:v>육은서</x:v>
      </x:c>
      <x:c r="AD8" s="86" t="str">
        <x:v>차단 P0 존재 시 rollback-only</x:v>
      </x:c>
      <x:c r="AE8" s="86" t="str">
        <x:v>릴리스 거버넌스</x:v>
      </x:c>
      <x:c r="AF8" s="86" t="n">
        <x:v>2</x:v>
      </x:c>
      <x:c r="AG8" s="86" t="n">
        <x:v>4</x:v>
      </x:c>
      <x:c r="AH8" s="86" t="str">
        <x:v>OPEN: 배포 사실/권한은 증적으로 확인</x:v>
      </x:c>
      <x:c r="AI8" s="86" t="n">
        <x:v>18</x:v>
      </x:c>
      <x:c r="AJ8" s="87" t="str">
        <x:v>Email=DEFER</x:v>
      </x:c>
    </x:row>
    <x:row r="9" ht="42" customHeight="1">
      <x:c r="A9" s="94" t="str">
        <x:v>Level1</x:v>
      </x:c>
      <x:c r="B9" s="95" t="str">
        <x:v>1</x:v>
      </x:c>
      <x:c r="C9" s="95" t="str">
        <x:v>아키텍처·실행 신뢰성</x:v>
      </x:c>
      <x:c r="D9" s="95" t="str"/>
      <x:c r="E9" s="95" t="str">
        <x:v>실제 배포→canonical ingress→중복 제거→executor/auth→영속성→E2E</x:v>
      </x:c>
      <x:c r="F9" s="95" t="str">
        <x:v>윤서준</x:v>
      </x:c>
      <x:c r="G9" s="95" t="str">
        <x:v>고준영</x:v>
      </x:c>
      <x:c r="H9" s="107" t="n">
        <x:f>$E$2+0</x:f>
        <x:v>46246</x:v>
      </x:c>
      <x:c r="I9" s="107" t="n">
        <x:f>$E$2+10</x:f>
        <x:v>46256</x:v>
      </x:c>
      <x:c r="J9" s="107" t="str"/>
      <x:c r="K9" s="107" t="str"/>
      <x:c r="L9" s="108" t="n">
        <x:f>NETWORKDAYS(H9,I9)</x:f>
        <x:v>8</x:v>
      </x:c>
      <x:c r="M9" s="108" t="str">
        <x:f>IF(OR(J9="",K9=""),"",NETWORKDAYS(J9,K9))</x:f>
      </x:c>
      <x:c r="N9" s="112" t="n">
        <x:v>0</x:v>
      </x:c>
      <x:c r="O9" s="95" t="str">
        <x:f>IF(F9="","",IF(N9&gt;SUMIF('설정_목록'!$E$4:$E$8,F9,'설정_목록'!$I$4:$I$8),"과부하","정상"))</x:f>
        <x:v>정상</x:v>
      </x:c>
      <x:c r="P9" s="95" t="str">
        <x:v>미착수</x:v>
      </x:c>
      <x:c r="Q9" s="102" t="n">
        <x:f>IF(TODAY()&lt;H9,0,IF(TODAY()&gt;I9,1,(TODAY()-H9+1)/(I9-H9+1)))</x:f>
        <x:v>0.09090909090909091</x:v>
      </x:c>
      <x:c r="R9" s="102" t="n">
        <x:v>0</x:v>
      </x:c>
      <x:c r="S9" s="95" t="str">
        <x:v>P0</x:v>
      </x:c>
      <x:c r="T9" s="95" t="str">
        <x:v>R-04</x:v>
      </x:c>
      <x:c r="U9" s="95" t="str">
        <x:v>CLM-A-01,CLM-P-01</x:v>
      </x:c>
      <x:c r="V9" s="95" t="str">
        <x:v>PROJECT_FLOW_AND_DEBT_GUIDE.md:18-55,498-529</x:v>
      </x:c>
      <x:c r="W9" s="95" t="str">
        <x:v>단일 경로·orphan/duplicate=0·trace 100%</x:v>
      </x:c>
      <x:c r="X9" s="95" t="str">
        <x:v>V-ARCH-01</x:v>
      </x:c>
      <x:c r="Y9" s="95" t="str">
        <x:v>pytest 대상 + 인증 E2E + trace 확인</x:v>
      </x:c>
      <x:c r="Z9" s="95" t="str">
        <x:v>staging/production-like</x:v>
      </x:c>
      <x:c r="AA9" s="95" t="str">
        <x:v>canonical path 1개; orphan/duplicate 0; trace 100%</x:v>
      </x:c>
      <x:c r="AB9" s="95" t="str">
        <x:v>evidence://V-ARCH-01</x:v>
      </x:c>
      <x:c r="AC9" s="95" t="str">
        <x:v>조은채</x:v>
      </x:c>
      <x:c r="AD9" s="95" t="str">
        <x:v>실패 시 변경 중단·직전 안정 revision 복귀</x:v>
      </x:c>
      <x:c r="AE9" s="95" t="str">
        <x:v>신뢰성</x:v>
      </x:c>
      <x:c r="AF9" s="95" t="n">
        <x:v>1</x:v>
      </x:c>
      <x:c r="AG9" s="95" t="n">
        <x:v>4</x:v>
      </x:c>
      <x:c r="AH9" s="95" t="str">
        <x:v>Open: current runtime/run-mode ADR 필요</x:v>
      </x:c>
      <x:c r="AI9" s="95" t="n">
        <x:v>10</x:v>
      </x:c>
      <x:c r="AJ9" s="96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고준영</x:v>
      </x:c>
      <x:c r="G10" s="32" t="str">
        <x:v>윤서준</x:v>
      </x:c>
      <x:c r="H10" s="109" t="n">
        <x:f>$E$2+0</x:f>
        <x:v>46246</x:v>
      </x:c>
      <x:c r="I10" s="109" t="n">
        <x:f>$E$2+1</x:f>
        <x:v>46247</x:v>
      </x:c>
      <x:c r="J10" s="109" t="str"/>
      <x:c r="K10" s="109" t="str"/>
      <x:c r="L10" s="42" t="n">
        <x:f>NETWORKDAYS(H10,I10)</x:f>
        <x:v>2</x:v>
      </x:c>
      <x:c r="M10" s="42" t="str">
        <x:f>IF(OR(J10="",K10=""),"",NETWORKDAYS(J10,K10))</x:f>
      </x:c>
      <x:c r="N10" s="38" t="n">
        <x:v>12</x:v>
      </x:c>
      <x:c r="O10" s="32" t="str">
        <x:f>IF(F10="","",IF(N10&gt;SUMIF('설정_목록'!$E$4:$E$8,F10,'설정_목록'!$I$4:$I$8),"과부하","정상"))</x:f>
        <x:v>정상</x:v>
      </x:c>
      <x:c r="P10" s="32" t="str">
        <x:v>미착수</x:v>
      </x:c>
      <x:c r="Q10" s="103" t="n">
        <x:f>IF(TODAY()&lt;H10,0,IF(TODAY()&gt;I10,1,(TODAY()-H10+1)/(I10-H10+1)))</x:f>
        <x:v>0.5</x:v>
      </x:c>
      <x:c r="R10" s="10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고준영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비핵심·대체 가능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09" t="n">
        <x:f>$E$2+1</x:f>
        <x:v>46247</x:v>
      </x:c>
      <x:c r="I11" s="109" t="n">
        <x:f>$E$2+2</x:f>
        <x:v>46248</x:v>
      </x:c>
      <x:c r="J11" s="109" t="str"/>
      <x:c r="K11" s="109" t="str"/>
      <x:c r="L11" s="42" t="n">
        <x:f>NETWORKDAYS(H11,I11)</x:f>
        <x:v>2</x:v>
      </x:c>
      <x:c r="M11" s="42" t="str">
        <x:f>IF(OR(J11="",K11=""),"",NETWORKDAYS(J11,K11))</x:f>
      </x:c>
      <x:c r="N11" s="38" t="n">
        <x:v>14</x:v>
      </x:c>
      <x:c r="O11" s="32" t="str">
        <x:f>IF(F11="","",IF(N11&gt;SUMIF('설정_목록'!$E$4:$E$8,F11,'설정_목록'!$I$4:$I$8),"과부하","정상"))</x:f>
        <x:v>정상</x:v>
      </x:c>
      <x:c r="P11" s="32" t="str">
        <x:v>미착수</x:v>
      </x:c>
      <x:c r="Q11" s="103" t="n">
        <x:f>IF(TODAY()&lt;H11,0,IF(TODAY()&gt;I11,1,(TODAY()-H11+1)/(I11-H11+1)))</x:f>
        <x:v>0</x:v>
      </x:c>
      <x:c r="R11" s="10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09" t="n">
        <x:f>$E$2+2</x:f>
        <x:v>46248</x:v>
      </x:c>
      <x:c r="I12" s="109" t="n">
        <x:f>$E$2+4</x:f>
        <x:v>46250</x:v>
      </x:c>
      <x:c r="J12" s="109" t="str"/>
      <x:c r="K12" s="109" t="str"/>
      <x:c r="L12" s="42" t="n">
        <x:f>NETWORKDAYS(H12,I12)</x:f>
        <x:v>1</x:v>
      </x:c>
      <x:c r="M12" s="42" t="str">
        <x:f>IF(OR(J12="",K12=""),"",NETWORKDAYS(J12,K12))</x:f>
      </x:c>
      <x:c r="N12" s="38" t="n">
        <x:v>18</x:v>
      </x:c>
      <x:c r="O12" s="32" t="str">
        <x:f>IF(F12="","",IF(N12&gt;SUMIF('설정_목록'!$E$4:$E$8,F12,'설정_목록'!$I$4:$I$8),"과부하","정상"))</x:f>
        <x:v>정상</x:v>
      </x:c>
      <x:c r="P12" s="32" t="str">
        <x:v>미착수</x:v>
      </x:c>
      <x:c r="Q12" s="103" t="n">
        <x:f>IF(TODAY()&lt;H12,0,IF(TODAY()&gt;I12,1,(TODAY()-H12+1)/(I12-H12+1)))</x:f>
        <x:v>0</x:v>
      </x:c>
      <x:c r="R12" s="10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09" t="n">
        <x:f>$E$2+4</x:f>
        <x:v>46250</x:v>
      </x:c>
      <x:c r="I13" s="109" t="n">
        <x:f>$E$2+6</x:f>
        <x:v>46252</x:v>
      </x:c>
      <x:c r="J13" s="109" t="str"/>
      <x:c r="K13" s="109" t="str"/>
      <x:c r="L13" s="42" t="n">
        <x:f>NETWORKDAYS(H13,I13)</x:f>
        <x:v>2</x:v>
      </x:c>
      <x:c r="M13" s="42" t="str">
        <x:f>IF(OR(J13="",K13=""),"",NETWORKDAYS(J13,K13))</x:f>
      </x:c>
      <x:c r="N13" s="38" t="n">
        <x:v>22</x:v>
      </x:c>
      <x:c r="O13" s="32" t="str">
        <x:f>IF(F13="","",IF(N13&gt;SUMIF('설정_목록'!$E$4:$E$8,F13,'설정_목록'!$I$4:$I$8),"과부하","정상"))</x:f>
        <x:v>정상</x:v>
      </x:c>
      <x:c r="P13" s="32" t="str">
        <x:v>미착수</x:v>
      </x:c>
      <x:c r="Q13" s="103" t="n">
        <x:f>IF(TODAY()&lt;H13,0,IF(TODAY()&gt;I13,1,(TODAY()-H13+1)/(I13-H13+1)))</x:f>
        <x:v>0</x:v>
      </x:c>
      <x:c r="R13" s="10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09" t="n">
        <x:f>$E$2+5</x:f>
        <x:v>46251</x:v>
      </x:c>
      <x:c r="I14" s="109" t="n">
        <x:f>$E$2+8</x:f>
        <x:v>46254</x:v>
      </x:c>
      <x:c r="J14" s="109" t="str"/>
      <x:c r="K14" s="109" t="str"/>
      <x:c r="L14" s="42" t="n">
        <x:f>NETWORKDAYS(H14,I14)</x:f>
        <x:v>4</x:v>
      </x:c>
      <x:c r="M14" s="42" t="str">
        <x:f>IF(OR(J14="",K14=""),"",NETWORKDAYS(J14,K14))</x:f>
      </x:c>
      <x:c r="N14" s="38" t="n">
        <x:v>24</x:v>
      </x:c>
      <x:c r="O14" s="32" t="str">
        <x:f>IF(F14="","",IF(N14&gt;SUMIF('설정_목록'!$E$4:$E$8,F14,'설정_목록'!$I$4:$I$8),"과부하","정상"))</x:f>
        <x:v>정상</x:v>
      </x:c>
      <x:c r="P14" s="32" t="str">
        <x:v>미착수</x:v>
      </x:c>
      <x:c r="Q14" s="103" t="n">
        <x:f>IF(TODAY()&lt;H14,0,IF(TODAY()&gt;I14,1,(TODAY()-H14+1)/(I14-H14+1)))</x:f>
        <x:v>0</x:v>
      </x:c>
      <x:c r="R14" s="10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94" t="str">
        <x:v>Level2</x:v>
      </x:c>
      <x:c r="B15" s="95" t="str">
        <x:v>1.6</x:v>
      </x:c>
      <x:c r="C15" s="95" t="str"/>
      <x:c r="D15" s="95" t="str">
        <x:v>E2E</x:v>
      </x:c>
      <x:c r="E15" s="95" t="str">
        <x:v>인증된 request-to-report E2E 경로 검증</x:v>
      </x:c>
      <x:c r="F15" s="95" t="str">
        <x:v>조은채</x:v>
      </x:c>
      <x:c r="G15" s="95" t="str">
        <x:v>윤서준</x:v>
      </x:c>
      <x:c r="H15" s="107" t="n">
        <x:f>$E$2+8</x:f>
        <x:v>46254</x:v>
      </x:c>
      <x:c r="I15" s="107" t="n">
        <x:f>$E$2+10</x:f>
        <x:v>46256</x:v>
      </x:c>
      <x:c r="J15" s="107" t="str"/>
      <x:c r="K15" s="107" t="str"/>
      <x:c r="L15" s="108" t="n">
        <x:f>NETWORKDAYS(H15,I15)</x:f>
        <x:v>2</x:v>
      </x:c>
      <x:c r="M15" s="108" t="str">
        <x:f>IF(OR(J15="",K15=""),"",NETWORKDAYS(J15,K15))</x:f>
      </x:c>
      <x:c r="N15" s="112" t="n">
        <x:v>18</x:v>
      </x:c>
      <x:c r="O15" s="95" t="str">
        <x:f>IF(F15="","",IF(N15&gt;SUMIF('설정_목록'!$E$4:$E$8,F15,'설정_목록'!$I$4:$I$8),"과부하","정상"))</x:f>
        <x:v>정상</x:v>
      </x:c>
      <x:c r="P15" s="95" t="str">
        <x:v>미착수</x:v>
      </x:c>
      <x:c r="Q15" s="102" t="n">
        <x:f>IF(TODAY()&lt;H15,0,IF(TODAY()&gt;I15,1,(TODAY()-H15+1)/(I15-H15+1)))</x:f>
        <x:v>0</x:v>
      </x:c>
      <x:c r="R15" s="102" t="n">
        <x:v>0</x:v>
      </x:c>
      <x:c r="S15" s="95" t="str">
        <x:v>P0</x:v>
      </x:c>
      <x:c r="T15" s="95" t="str">
        <x:v>R-04</x:v>
      </x:c>
      <x:c r="U15" s="95" t="str">
        <x:v>CLM-DEPLOY</x:v>
      </x:c>
      <x:c r="V15" s="95" t="str">
        <x:v>README.md:48-73</x:v>
      </x:c>
      <x:c r="W15" s="95" t="str">
        <x:v>브라우저→ingress→AI→executor→report trace 단일 ID 연결</x:v>
      </x:c>
      <x:c r="X15" s="95" t="str">
        <x:v>V-ARCH-01</x:v>
      </x:c>
      <x:c r="Y15" s="95" t="str">
        <x:v>인증 브라우저 E2E + trace</x:v>
      </x:c>
      <x:c r="Z15" s="95" t="str">
        <x:v>authenticated staging</x:v>
      </x:c>
      <x:c r="AA15" s="95" t="str">
        <x:v>trace 100%</x:v>
      </x:c>
      <x:c r="AB15" s="95" t="str">
        <x:v>evidence://P0-05-e2e</x:v>
      </x:c>
      <x:c r="AC15" s="95" t="str">
        <x:v>조은채</x:v>
      </x:c>
      <x:c r="AD15" s="95" t="str">
        <x:v>E2E/trace 누락 시 운영 gate 반려</x:v>
      </x:c>
      <x:c r="AE15" s="95" t="str">
        <x:v>UX/audit</x:v>
      </x:c>
      <x:c r="AF15" s="95" t="n">
        <x:v>2</x:v>
      </x:c>
      <x:c r="AG15" s="95" t="n">
        <x:v>4</x:v>
      </x:c>
      <x:c r="AH15" s="95" t="str">
        <x:v>라벨은 데이터 통제 아님</x:v>
      </x:c>
      <x:c r="AI15" s="95" t="str">
        <x:v>1.6 종료</x:v>
      </x:c>
      <x:c r="AJ15" s="96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09" t="n">
        <x:f>$E$2+1</x:f>
        <x:v>46247</x:v>
      </x:c>
      <x:c r="I16" s="109" t="n">
        <x:f>$E$2+12</x:f>
        <x:v>46258</x:v>
      </x:c>
      <x:c r="J16" s="109" t="str"/>
      <x:c r="K16" s="109" t="str"/>
      <x:c r="L16" s="42" t="n">
        <x:f>NETWORKDAYS(H16,I16)</x:f>
        <x:v>8</x:v>
      </x:c>
      <x:c r="M16" s="42" t="str">
        <x:f>IF(OR(J16="",K16=""),"",NETWORKDAYS(J16,K16))</x:f>
      </x:c>
      <x:c r="N16" s="38" t="n">
        <x:v>0</x:v>
      </x:c>
      <x:c r="O16" s="32" t="str">
        <x:f>IF(F16="","",IF(N16&gt;SUMIF('설정_목록'!$E$4:$E$8,F16,'설정_목록'!$I$4:$I$8),"과부하","정상"))</x:f>
        <x:v>정상</x:v>
      </x:c>
      <x:c r="P16" s="32" t="str">
        <x:v>미착수</x:v>
      </x:c>
      <x:c r="Q16" s="103" t="n">
        <x:f>IF(TODAY()&lt;H16,0,IF(TODAY()&gt;I16,1,(TODAY()-H16+1)/(I16-H16+1)))</x:f>
        <x:v>0</x:v>
      </x:c>
      <x:c r="R16" s="10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09" t="n">
        <x:f>$E$2+1</x:f>
        <x:v>46247</x:v>
      </x:c>
      <x:c r="I17" s="109" t="n">
        <x:f>$E$2+3</x:f>
        <x:v>46249</x:v>
      </x:c>
      <x:c r="J17" s="109" t="str"/>
      <x:c r="K17" s="109" t="str"/>
      <x:c r="L17" s="42" t="n">
        <x:f>NETWORKDAYS(H17,I17)</x:f>
        <x:v>2</x:v>
      </x:c>
      <x:c r="M17" s="42" t="str">
        <x:f>IF(OR(J17="",K17=""),"",NETWORKDAYS(J17,K17))</x:f>
      </x:c>
      <x:c r="N17" s="38" t="n">
        <x:v>16</x:v>
      </x:c>
      <x:c r="O17" s="32" t="str">
        <x:f>IF(F17="","",IF(N17&gt;SUMIF('설정_목록'!$E$4:$E$8,F17,'설정_목록'!$I$4:$I$8),"과부하","정상"))</x:f>
        <x:v>정상</x:v>
      </x:c>
      <x:c r="P17" s="32" t="str">
        <x:v>미착수</x:v>
      </x:c>
      <x:c r="Q17" s="103" t="n">
        <x:f>IF(TODAY()&lt;H17,0,IF(TODAY()&gt;I17,1,(TODAY()-H17+1)/(I17-H17+1)))</x:f>
        <x:v>0</x:v>
      </x:c>
      <x:c r="R17" s="10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09" t="n">
        <x:f>$E$2+3</x:f>
        <x:v>46249</x:v>
      </x:c>
      <x:c r="I18" s="109" t="n">
        <x:f>$E$2+6</x:f>
        <x:v>46252</x:v>
      </x:c>
      <x:c r="J18" s="109" t="str"/>
      <x:c r="K18" s="109" t="str"/>
      <x:c r="L18" s="42" t="n">
        <x:f>NETWORKDAYS(H18,I18)</x:f>
        <x:v>2</x:v>
      </x:c>
      <x:c r="M18" s="42" t="str">
        <x:f>IF(OR(J18="",K18=""),"",NETWORKDAYS(J18,K18))</x:f>
      </x:c>
      <x:c r="N18" s="38" t="n">
        <x:v>24</x:v>
      </x:c>
      <x:c r="O18" s="32" t="str">
        <x:f>IF(F18="","",IF(N18&gt;SUMIF('설정_목록'!$E$4:$E$8,F18,'설정_목록'!$I$4:$I$8),"과부하","정상"))</x:f>
        <x:v>정상</x:v>
      </x:c>
      <x:c r="P18" s="32" t="str">
        <x:v>미착수</x:v>
      </x:c>
      <x:c r="Q18" s="103" t="n">
        <x:f>IF(TODAY()&lt;H18,0,IF(TODAY()&gt;I18,1,(TODAY()-H18+1)/(I18-H18+1)))</x:f>
        <x:v>0</x:v>
      </x:c>
      <x:c r="R18" s="10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09" t="n">
        <x:f>$E$2+6</x:f>
        <x:v>46252</x:v>
      </x:c>
      <x:c r="I19" s="109" t="n">
        <x:f>$E$2+9</x:f>
        <x:v>46255</x:v>
      </x:c>
      <x:c r="J19" s="109" t="str"/>
      <x:c r="K19" s="109" t="str"/>
      <x:c r="L19" s="42" t="n">
        <x:f>NETWORKDAYS(H19,I19)</x:f>
        <x:v>4</x:v>
      </x:c>
      <x:c r="M19" s="42" t="str">
        <x:f>IF(OR(J19="",K19=""),"",NETWORKDAYS(J19,K19))</x:f>
      </x:c>
      <x:c r="N19" s="38" t="n">
        <x:v>24</x:v>
      </x:c>
      <x:c r="O19" s="32" t="str">
        <x:f>IF(F19="","",IF(N19&gt;SUMIF('설정_목록'!$E$4:$E$8,F19,'설정_목록'!$I$4:$I$8),"과부하","정상"))</x:f>
        <x:v>정상</x:v>
      </x:c>
      <x:c r="P19" s="32" t="str">
        <x:v>미착수</x:v>
      </x:c>
      <x:c r="Q19" s="103" t="n">
        <x:f>IF(TODAY()&lt;H19,0,IF(TODAY()&gt;I19,1,(TODAY()-H19+1)/(I19-H19+1)))</x:f>
        <x:v>0</x:v>
      </x:c>
      <x:c r="R19" s="10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94" t="str">
        <x:v>Level2</x:v>
      </x:c>
      <x:c r="B20" s="95" t="str">
        <x:v>2.4</x:v>
      </x:c>
      <x:c r="C20" s="95" t="str"/>
      <x:c r="D20" s="95" t="str">
        <x:v>parity/cost</x:v>
      </x:c>
      <x:c r="E20" s="95" t="str">
        <x:v>평가기 parity·benchmark·비용/슬리피지·regime robustness</x:v>
      </x:c>
      <x:c r="F20" s="95" t="str">
        <x:v>육은서</x:v>
      </x:c>
      <x:c r="G20" s="95" t="str">
        <x:v>윤서준</x:v>
      </x:c>
      <x:c r="H20" s="107" t="n">
        <x:f>$E$2+8</x:f>
        <x:v>46254</x:v>
      </x:c>
      <x:c r="I20" s="107" t="n">
        <x:f>$E$2+12</x:f>
        <x:v>46258</x:v>
      </x:c>
      <x:c r="J20" s="107" t="str"/>
      <x:c r="K20" s="107" t="str"/>
      <x:c r="L20" s="108" t="n">
        <x:f>NETWORKDAYS(H20,I20)</x:f>
        <x:v>3</x:v>
      </x:c>
      <x:c r="M20" s="108" t="str">
        <x:f>IF(OR(J20="",K20=""),"",NETWORKDAYS(J20,K20))</x:f>
      </x:c>
      <x:c r="N20" s="112" t="n">
        <x:v>26</x:v>
      </x:c>
      <x:c r="O20" s="95" t="str">
        <x:f>IF(F20="","",IF(N20&gt;SUMIF('설정_목록'!$E$4:$E$8,F20,'설정_목록'!$I$4:$I$8),"과부하","정상"))</x:f>
        <x:v>정상</x:v>
      </x:c>
      <x:c r="P20" s="95" t="str">
        <x:v>미착수</x:v>
      </x:c>
      <x:c r="Q20" s="102" t="n">
        <x:f>IF(TODAY()&lt;H20,0,IF(TODAY()&gt;I20,1,(TODAY()-H20+1)/(I20-H20+1)))</x:f>
        <x:v>0</x:v>
      </x:c>
      <x:c r="R20" s="102" t="n">
        <x:v>0</x:v>
      </x:c>
      <x:c r="S20" s="95" t="str">
        <x:v>P0</x:v>
      </x:c>
      <x:c r="T20" s="95" t="str">
        <x:v>R-03</x:v>
      </x:c>
      <x:c r="U20" s="95" t="str">
        <x:v>CLM-Q-03,CLM-E-02,M-Q03</x:v>
      </x:c>
      <x:c r="V20" s="95" t="str">
        <x:v>진행상황-문제정의-2.md:46-119</x:v>
      </x:c>
      <x:c r="W20" s="95" t="str">
        <x:v>정의 불일치=0; benchmark·fill/cost·regime 결과와 한계 공개</x:v>
      </x:c>
      <x:c r="X20" s="95" t="str">
        <x:v>V-QUANT-02</x:v>
      </x:c>
      <x:c r="Y20" s="95" t="str">
        <x:v>evaluator parity·benchmark·fill/cost·regime slice</x:v>
      </x:c>
      <x:c r="Z20" s="95" t="str">
        <x:v>versioned cost/fill dataset</x:v>
      </x:c>
      <x:c r="AA20" s="95" t="str">
        <x:v>정의 불일치 0; 결과 공개</x:v>
      </x:c>
      <x:c r="AB20" s="95" t="str">
        <x:v>evidence://P0-09-evaluator</x:v>
      </x:c>
      <x:c r="AC20" s="95" t="str">
        <x:v>조은채</x:v>
      </x:c>
      <x:c r="AD20" s="95" t="str">
        <x:v>불일치 시 추천/성과 헤드라인 차단</x:v>
      </x:c>
      <x:c r="AE20" s="95" t="str">
        <x:v>AI 평가</x:v>
      </x:c>
      <x:c r="AF20" s="95" t="n">
        <x:v>1</x:v>
      </x:c>
      <x:c r="AG20" s="95" t="n">
        <x:v>4</x:v>
      </x:c>
      <x:c r="AH20" s="95" t="str">
        <x:v>기존 개선은 Retest-required</x:v>
      </x:c>
      <x:c r="AI20" s="95" t="str">
        <x:v>2.4 종료</x:v>
      </x:c>
      <x:c r="AJ20" s="96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09" t="n">
        <x:f>$E$2+10</x:f>
        <x:v>46256</x:v>
      </x:c>
      <x:c r="I21" s="109" t="n">
        <x:f>$E$2+19</x:f>
        <x:v>46265</x:v>
      </x:c>
      <x:c r="J21" s="109" t="str"/>
      <x:c r="K21" s="109" t="str"/>
      <x:c r="L21" s="42" t="n">
        <x:f>NETWORKDAYS(H21,I21)</x:f>
        <x:v>6</x:v>
      </x:c>
      <x:c r="M21" s="42" t="str">
        <x:f>IF(OR(J21="",K21=""),"",NETWORKDAYS(J21,K21))</x:f>
      </x:c>
      <x:c r="N21" s="38" t="n">
        <x:v>0</x:v>
      </x:c>
      <x:c r="O21" s="32" t="str">
        <x:f>IF(F21="","",IF(N21&gt;SUMIF('설정_목록'!$E$4:$E$8,F21,'설정_목록'!$I$4:$I$8),"과부하","정상"))</x:f>
        <x:v>정상</x:v>
      </x:c>
      <x:c r="P21" s="32" t="str">
        <x:v>미착수</x:v>
      </x:c>
      <x:c r="Q21" s="103" t="n">
        <x:f>IF(TODAY()&lt;H21,0,IF(TODAY()&gt;I21,1,(TODAY()-H21+1)/(I21-H21+1)))</x:f>
        <x:v>0</x:v>
      </x:c>
      <x:c r="R21" s="10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09" t="n">
        <x:f>$E$2+10</x:f>
        <x:v>46256</x:v>
      </x:c>
      <x:c r="I22" s="109" t="n">
        <x:f>$E$2+14</x:f>
        <x:v>46260</x:v>
      </x:c>
      <x:c r="J22" s="109" t="str"/>
      <x:c r="K22" s="109" t="str"/>
      <x:c r="L22" s="42" t="n">
        <x:f>NETWORKDAYS(H22,I22)</x:f>
        <x:v>3</x:v>
      </x:c>
      <x:c r="M22" s="42" t="str">
        <x:f>IF(OR(J22="",K22=""),"",NETWORKDAYS(J22,K22))</x:f>
      </x:c>
      <x:c r="N22" s="38" t="n">
        <x:v>22</x:v>
      </x:c>
      <x:c r="O22" s="32" t="str">
        <x:f>IF(F22="","",IF(N22&gt;SUMIF('설정_목록'!$E$4:$E$8,F22,'설정_목록'!$I$4:$I$8),"과부하","정상"))</x:f>
        <x:v>정상</x:v>
      </x:c>
      <x:c r="P22" s="32" t="str">
        <x:v>미착수</x:v>
      </x:c>
      <x:c r="Q22" s="103" t="n">
        <x:f>IF(TODAY()&lt;H22,0,IF(TODAY()&gt;I22,1,(TODAY()-H22+1)/(I22-H22+1)))</x:f>
        <x:v>0</x:v>
      </x:c>
      <x:c r="R22" s="10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09" t="n">
        <x:f>$E$2+14</x:f>
        <x:v>46260</x:v>
      </x:c>
      <x:c r="I23" s="109" t="n">
        <x:f>$E$2+17</x:f>
        <x:v>46263</x:v>
      </x:c>
      <x:c r="J23" s="109" t="str"/>
      <x:c r="K23" s="109" t="str"/>
      <x:c r="L23" s="42" t="n">
        <x:f>NETWORKDAYS(H23,I23)</x:f>
        <x:v>3</x:v>
      </x:c>
      <x:c r="M23" s="42" t="str">
        <x:f>IF(OR(J23="",K23=""),"",NETWORKDAYS(J23,K23))</x:f>
      </x:c>
      <x:c r="N23" s="38" t="n">
        <x:v>20</x:v>
      </x:c>
      <x:c r="O23" s="32" t="str">
        <x:f>IF(F23="","",IF(N23&gt;SUMIF('설정_목록'!$E$4:$E$8,F23,'설정_목록'!$I$4:$I$8),"과부하","정상"))</x:f>
        <x:v>정상</x:v>
      </x:c>
      <x:c r="P23" s="32" t="str">
        <x:v>미착수</x:v>
      </x:c>
      <x:c r="Q23" s="103" t="n">
        <x:f>IF(TODAY()&lt;H23,0,IF(TODAY()&gt;I23,1,(TODAY()-H23+1)/(I23-H23+1)))</x:f>
        <x:v>0</x:v>
      </x:c>
      <x:c r="R23" s="10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10" t="n">
        <x:f>$E$2+19</x:f>
        <x:v>46265</x:v>
      </x:c>
      <x:c r="I24" s="110" t="n">
        <x:f>$E$2+19</x:f>
        <x:v>46265</x:v>
      </x:c>
      <x:c r="J24" s="110" t="str"/>
      <x:c r="K24" s="110" t="str"/>
      <x:c r="L24" s="44" t="n">
        <x:f>NETWORKDAYS(H24,I24)</x:f>
        <x:v>1</x:v>
      </x:c>
      <x:c r="M24" s="44" t="str">
        <x:f>IF(OR(J24="",K24=""),"",NETWORKDAYS(J24,K24))</x:f>
      </x:c>
      <x:c r="N24" s="39" t="n">
        <x:v>12</x:v>
      </x:c>
      <x:c r="O24" s="35" t="str">
        <x:f>IF(F24="","",IF(N24&gt;SUMIF('설정_목록'!$E$4:$E$8,F24,'설정_목록'!$I$4:$I$8),"과부하","정상"))</x:f>
        <x:v>정상</x:v>
      </x:c>
      <x:c r="P24" s="35" t="str">
        <x:v>미착수</x:v>
      </x:c>
      <x:c r="Q24" s="104" t="n">
        <x:f>IF(TODAY()&lt;H24,0,IF(TODAY()&gt;I24,1,(TODAY()-H24+1)/(I24-H24+1)))</x:f>
        <x:v>0</x:v>
      </x:c>
      <x:c r="R24" s="10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1:AJ1"/>
    <x:mergeCell ref="A2:D2"/>
    <x:mergeCell ref="E2:F2"/>
    <x:mergeCell ref="H2:K2"/>
    <x:mergeCell ref="L2:M2"/>
    <x:mergeCell ref="O2:P2"/>
    <x:mergeCell ref="Q2:R2"/>
    <x:mergeCell ref="T2:U2"/>
    <x:mergeCell ref="V2:W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완료"/>
  </x:conditionalFormatting>
  <x:conditionalFormatting sqref="AB8:AB24">
    <x:cfRule type="expression" dxfId="3" priority="4">
      <x:formula>AND($S8="P0",OR($Y8="",$Z8="",$AA8="",$AB8="",$AC8="",$AD8=""))</x:formula>
    </x:cfRule>
  </x:conditionalFormatting>
  <x:conditionalFormatting sqref="I8:I24">
    <x:cfRule type="expression" dxfId="4" priority="5">
      <x:formula>AND($I8=$Q$2,$E8&lt;&gt;"배포 전용")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a787817a8048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132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12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