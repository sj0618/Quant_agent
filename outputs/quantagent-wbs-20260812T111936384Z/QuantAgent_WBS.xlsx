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c47c7abdf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9c7ff3c2ed774d95"/>
    <x:sheet xmlns:r="http://schemas.openxmlformats.org/officeDocument/2006/relationships" name="Milestones" sheetId="2" r:id="Rae7af2a74a394814"/>
    <x:sheet xmlns:r="http://schemas.openxmlformats.org/officeDocument/2006/relationships" name="Risks" sheetId="3" r:id="R07f0f27f3535494e"/>
    <x:sheet xmlns:r="http://schemas.openxmlformats.org/officeDocument/2006/relationships" name="README" sheetId="4" r:id="Rebfc9938774e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3F4E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BFD"/>
      </x:patternFill>
    </x:fill>
  </x:fills>
  <x:borders count="2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7" xfId="0" applyNumberFormat="1" applyFont="1" applyFill="1" applyBorder="1"/>
    <x:xf numFmtId="0" fontId="7" fillId="5" borderId="10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e5e0c8069456a" /><Relationship Type="http://schemas.openxmlformats.org/officeDocument/2006/relationships/theme" Target="/xl/theme/theme1.xml" Id="R11013259d7854946" /><Relationship Type="http://schemas.openxmlformats.org/officeDocument/2006/relationships/sharedStrings" Target="/xl/sharedStrings.xml" Id="Re7ea01b1d2c74b05" /><Relationship Type="http://schemas.openxmlformats.org/officeDocument/2006/relationships/worksheet" Target="/xl/worksheets/sheet1.xml" Id="R9c7ff3c2ed774d95" /><Relationship Type="http://schemas.openxmlformats.org/officeDocument/2006/relationships/worksheet" Target="/xl/worksheets/sheet2.xml" Id="Rae7af2a74a394814" /><Relationship Type="http://schemas.openxmlformats.org/officeDocument/2006/relationships/worksheet" Target="/xl/worksheets/sheet3.xml" Id="R07f0f27f3535494e" /><Relationship Type="http://schemas.openxmlformats.org/officeDocument/2006/relationships/worksheet" Target="/xl/worksheets/sheet4.xml" Id="Rebfc9938774e4e86" /></Relationships>
</file>

<file path=xl/tables/table1.xml><?xml version="1.0" encoding="utf-8"?>
<x:table xmlns:x="http://schemas.openxmlformats.org/spreadsheetml/2006/main" id="1" name="WbsTasks" displayName="WbsTasks" ref="A4:P21" headerRowCount="1" totalsRowCount="0" totalsRowShown="0">
  <x:tableColumns count="16">
    <x:tableColumn id="1" name="WBS ID"/>
    <x:tableColumn id="2" name="Workstream"/>
    <x:tableColumn id="3" name="Task / Deliverable"/>
    <x:tableColumn id="4" name="Owner Role"/>
    <x:tableColumn id="5" name="Predecessor"/>
    <x:tableColumn id="6" name="Start"/>
    <x:tableColumn id="7" name="Finish"/>
    <x:tableColumn id="8" name="Duration (days)"/>
    <x:tableColumn id="9" name="Effort (days)"/>
    <x:tableColumn id="10" name="% Complete"/>
    <x:tableColumn id="11" name="Status"/>
    <x:tableColumn id="12" name="Priority"/>
    <x:tableColumn id="13" name="Risk"/>
    <x:tableColumn id="14" name="Acceptance Check"/>
    <x:tableColumn id="15" name="Evidence / Sour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Table" displayName="MilestoneTable" ref="A4:J11" headerRowCount="1" totalsRowCount="0" totalsRowShown="0">
  <x:tableColumns count="10">
    <x:tableColumn id="1" name="Milestone"/>
    <x:tableColumn id="2" name="Target Date"/>
    <x:tableColumn id="3" name="Owner Role"/>
    <x:tableColumn id="4" name="Linked WBS"/>
    <x:tableColumn id="5" name="Exit / Evidence"/>
    <x:tableColumn id="6" name="Status"/>
    <x:tableColumn id="7" name="Priority"/>
    <x:tableColumn id="8" name="Risk"/>
    <x:tableColumn id="9" name="Schedule Check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" displayName="RiskRegister" ref="A4:K10" headerRowCount="1" totalsRowCount="0" totalsRowShown="0">
  <x:tableColumns count="11">
    <x:tableColumn id="1" name="Risk ID"/>
    <x:tableColumn id="2" name="Risk / Trigger"/>
    <x:tableColumn id="3" name="Probability"/>
    <x:tableColumn id="4" name="Impact"/>
    <x:tableColumn id="5" name="Score"/>
    <x:tableColumn id="6" name="Level"/>
    <x:tableColumn id="7" name="Owner Role"/>
    <x:tableColumn id="8" name="Mitigation / Contingency"/>
    <x:tableColumn id="9" name="Linked WBS"/>
    <x:tableColumn id="10" name="Review Cade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35bdca12d840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06e9ce34f5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3b3e51722f44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7" hidden="0" customWidth="1"/>
    <x:col min="4" max="4" width="19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0" hidden="0" customWidth="1"/>
    <x:col min="13" max="13" width="10" hidden="0" customWidth="1"/>
    <x:col min="14" max="14" width="40" hidden="0" customWidth="1"/>
    <x:col min="15" max="15" width="34" hidden="0" customWidth="1"/>
    <x:col min="16" max="16" width="28" hidden="0" customWidth="1"/>
  </x:cols>
  <x:sheetData>
    <x:row r="1" ht="30" customHeight="1">
      <x:c r="A1" s="4" t="str">
        <x:v>QuantAgent Improvement Work Breakdown Structure</x:v>
      </x:c>
    </x:row>
    <x:row r="2" ht="28" customHeight="1">
      <x:c r="A2" s="8" t="str">
        <x:v>Editable 12-week planning baseline. Start date, roles, status, priority, and risk are planning defaults; update blue-text inputs as team capacity and release dates are confirmed.</x:v>
      </x:c>
    </x:row>
    <x:row r="4" ht="30" customHeight="1">
      <x:c r="A4" s="20" t="str">
        <x:v>WBS ID</x:v>
      </x:c>
      <x:c r="B4" s="21" t="str">
        <x:v>Workstream</x:v>
      </x:c>
      <x:c r="C4" s="21" t="str">
        <x:v>Task / Deliverable</x:v>
      </x:c>
      <x:c r="D4" s="21" t="str">
        <x:v>Owner Role</x:v>
      </x:c>
      <x:c r="E4" s="21" t="str">
        <x:v>Predecessor</x:v>
      </x:c>
      <x:c r="F4" s="21" t="str">
        <x:v>Start</x:v>
      </x:c>
      <x:c r="G4" s="21" t="str">
        <x:v>Finish</x:v>
      </x:c>
      <x:c r="H4" s="21" t="str">
        <x:v>Duration (days)</x:v>
      </x:c>
      <x:c r="I4" s="21" t="str">
        <x:v>Effort (days)</x:v>
      </x:c>
      <x:c r="J4" s="21" t="str">
        <x:v>% Complete</x:v>
      </x:c>
      <x:c r="K4" s="21" t="str">
        <x:v>Status</x:v>
      </x:c>
      <x:c r="L4" s="21" t="str">
        <x:v>Priority</x:v>
      </x:c>
      <x:c r="M4" s="21" t="str">
        <x:v>Risk</x:v>
      </x:c>
      <x:c r="N4" s="21" t="str">
        <x:v>Acceptance Check</x:v>
      </x:c>
      <x:c r="O4" s="21" t="str">
        <x:v>Evidence / Source</x:v>
      </x:c>
      <x:c r="P4" s="22" t="str">
        <x:v>Notes</x:v>
      </x:c>
    </x:row>
    <x:row r="5" ht="42" customHeight="1">
      <x:c r="A5" s="72" t="str">
        <x:v>1.0</x:v>
      </x:c>
      <x:c r="B5" s="43" t="str">
        <x:v>Program control</x:v>
      </x:c>
      <x:c r="C5" s="43" t="str">
        <x:v>Kickoff, scope lock, delivery cadence, and evidence register</x:v>
      </x:c>
      <x:c r="D5" s="69" t="str">
        <x:v>Product / Delivery</x:v>
      </x:c>
      <x:c r="E5" s="43" t="str"/>
      <x:c r="F5" s="60" t="n">
        <x:f>'README'!$B$9+0</x:f>
        <x:v>46251</x:v>
      </x:c>
      <x:c r="G5" s="60" t="n">
        <x:f>F5+2-1</x:f>
        <x:v>46252</x:v>
      </x:c>
      <x:c r="H5" s="54" t="n">
        <x:f>G5-F5+1</x:f>
        <x:v>2</x:v>
      </x:c>
      <x:c r="I5" s="61" t="n">
        <x:v>3</x:v>
      </x:c>
      <x:c r="J5" s="66" t="n">
        <x:v>1</x:v>
      </x:c>
      <x:c r="K5" s="69" t="str">
        <x:v>Not Started</x:v>
      </x:c>
      <x:c r="L5" s="69" t="str">
        <x:v>P0</x:v>
      </x:c>
      <x:c r="M5" s="69" t="str">
        <x:v>Medium</x:v>
      </x:c>
      <x:c r="N5" s="43" t="str">
        <x:v>Roles assigned; weekly cadence and acceptance evidence register published</x:v>
      </x:c>
      <x:c r="O5" s="43" t="str">
        <x:v>README.md; docs/PROJECT_FLOW_AND_DEBT_GUIDE.md</x:v>
      </x:c>
      <x:c r="P5" s="44" t="str">
        <x:v>Planning baseline</x:v>
      </x:c>
    </x:row>
    <x:row r="6" ht="42" customHeight="1">
      <x:c r="A6" s="73" t="str">
        <x:v>1.1</x:v>
      </x:c>
      <x:c r="B6" s="46" t="str">
        <x:v>Program control</x:v>
      </x:c>
      <x:c r="C6" s="46" t="str">
        <x:v>Create reproducible fixture + real-data validation matrix</x:v>
      </x:c>
      <x:c r="D6" s="70" t="str">
        <x:v>QA / Quant Research</x:v>
      </x:c>
      <x:c r="E6" s="46" t="str">
        <x:v>1.0</x:v>
      </x:c>
      <x:c r="F6" s="62" t="n">
        <x:f>'README'!$B$9+1</x:f>
        <x:v>46252</x:v>
      </x:c>
      <x:c r="G6" s="62" t="n">
        <x:f>F6+4-1</x:f>
        <x:v>46255</x:v>
      </x:c>
      <x:c r="H6" s="55" t="n">
        <x:f>G6-F6+1</x:f>
        <x:v>4</x:v>
      </x:c>
      <x:c r="I6" s="63" t="n">
        <x:v>4</x:v>
      </x:c>
      <x:c r="J6" s="67" t="n">
        <x:v>1</x:v>
      </x:c>
      <x:c r="K6" s="70" t="str">
        <x:v>Not Started</x:v>
      </x:c>
      <x:c r="L6" s="70" t="str">
        <x:v>P0</x:v>
      </x:c>
      <x:c r="M6" s="70" t="str">
        <x:v>High</x:v>
      </x:c>
      <x:c r="N6" s="46" t="str">
        <x:v>Matrix covers fixture, integration, and DSN-gated real-data checks</x:v>
      </x:c>
      <x:c r="O6" s="46" t="str">
        <x:v>README.md local deterministic profile; 진행상황-개선기획.md §7</x:v>
      </x:c>
      <x:c r="P6" s="47" t="str">
        <x:v>Real-data checks remain DSN-gated</x:v>
      </x:c>
    </x:row>
    <x:row r="7" ht="42" customHeight="1">
      <x:c r="A7" s="73" t="str">
        <x:v>2.0</x:v>
      </x:c>
      <x:c r="B7" s="46" t="str">
        <x:v>Truthful presentation</x:v>
      </x:c>
      <x:c r="C7" s="46" t="str">
        <x:v>Remove unsupported FE walk-forward claim and related copy (P-4)</x:v>
      </x:c>
      <x:c r="D7" s="70" t="str">
        <x:v>Frontend Engineer</x:v>
      </x:c>
      <x:c r="E7" s="46" t="str">
        <x:v>1.0</x:v>
      </x:c>
      <x:c r="F7" s="62" t="n">
        <x:f>'README'!$B$9+3</x:f>
        <x:v>46254</x:v>
      </x:c>
      <x:c r="G7" s="62" t="n">
        <x:f>F7+1-1</x:f>
        <x:v>46254</x:v>
      </x:c>
      <x:c r="H7" s="55" t="n">
        <x:f>G7-F7+1</x:f>
        <x:v>1</x:v>
      </x:c>
      <x:c r="I7" s="63" t="n">
        <x:v>1</x:v>
      </x:c>
      <x:c r="J7" s="67" t="n">
        <x:v>0</x:v>
      </x:c>
      <x:c r="K7" s="70" t="str">
        <x:v>Not Started</x:v>
      </x:c>
      <x:c r="L7" s="70" t="str">
        <x:v>P0</x:v>
      </x:c>
      <x:c r="M7" s="70" t="str">
        <x:v>Low</x:v>
      </x:c>
      <x:c r="N7" s="46" t="str">
        <x:v>No walk-forward claim remains where no rolling validation is implemented</x:v>
      </x:c>
      <x:c r="O7" s="46" t="str">
        <x:v>진행상황-개선기획.md §5 P-4</x:v>
      </x:c>
      <x:c r="P7" s="47" t="str">
        <x:v>Fast, low-risk correction</x:v>
      </x:c>
    </x:row>
    <x:row r="8" ht="42" customHeight="1">
      <x:c r="A8" s="73" t="str">
        <x:v>2.1</x:v>
      </x:c>
      <x:c r="B8" s="46" t="str">
        <x:v>Truthful presentation</x:v>
      </x:c>
      <x:c r="C8" s="46" t="str">
        <x:v>Add FE regression coverage for updated performance copy</x:v>
      </x:c>
      <x:c r="D8" s="70" t="str">
        <x:v>Frontend Engineer</x:v>
      </x:c>
      <x:c r="E8" s="46" t="str">
        <x:v>2.0</x:v>
      </x:c>
      <x:c r="F8" s="62" t="n">
        <x:f>'README'!$B$9+4</x:f>
        <x:v>46255</x:v>
      </x:c>
      <x:c r="G8" s="62" t="n">
        <x:f>F8+1-1</x:f>
        <x:v>46255</x:v>
      </x:c>
      <x:c r="H8" s="55" t="n">
        <x:f>G8-F8+1</x:f>
        <x:v>1</x:v>
      </x:c>
      <x:c r="I8" s="63" t="n">
        <x:v>1</x:v>
      </x:c>
      <x:c r="J8" s="67" t="n">
        <x:v>0</x:v>
      </x:c>
      <x:c r="K8" s="70" t="str">
        <x:v>Not Started</x:v>
      </x:c>
      <x:c r="L8" s="70" t="str">
        <x:v>P1</x:v>
      </x:c>
      <x:c r="M8" s="70" t="str">
        <x:v>Low</x:v>
      </x:c>
      <x:c r="N8" s="46" t="str">
        <x:v>Targeted FE test proves removed claim cannot regress</x:v>
      </x:c>
      <x:c r="O8" s="46" t="str">
        <x:v>FE scripts; 진행상황-개선기획.md §5</x:v>
      </x:c>
      <x:c r="P8" s="47" t="str"/>
    </x:row>
    <x:row r="9" ht="42" customHeight="1">
      <x:c r="A9" s="73" t="str">
        <x:v>3.0</x:v>
      </x:c>
      <x:c r="B9" s="46" t="str">
        <x:v>Point-in-time data</x:v>
      </x:c>
      <x:c r="C9" s="46" t="str">
        <x:v>Implement point-in-time liquid-universe query using prior 90-day trading value (P-1)</x:v>
      </x:c>
      <x:c r="D9" s="70" t="str">
        <x:v>Data / Backend Engineer</x:v>
      </x:c>
      <x:c r="E9" s="46" t="str">
        <x:v>1.0</x:v>
      </x:c>
      <x:c r="F9" s="62" t="n">
        <x:f>'README'!$B$9+5</x:f>
        <x:v>46256</x:v>
      </x:c>
      <x:c r="G9" s="62" t="n">
        <x:f>F9+4-1</x:f>
        <x:v>46259</x:v>
      </x:c>
      <x:c r="H9" s="55" t="n">
        <x:f>G9-F9+1</x:f>
        <x:v>4</x:v>
      </x:c>
      <x:c r="I9" s="63" t="n">
        <x:v>5</x:v>
      </x:c>
      <x:c r="J9" s="67" t="n">
        <x:v>1</x:v>
      </x:c>
      <x:c r="K9" s="70" t="str">
        <x:v>Not Started</x:v>
      </x:c>
      <x:c r="L9" s="70" t="str">
        <x:v>P0</x:v>
      </x:c>
      <x:c r="M9" s="70" t="str">
        <x:v>High</x:v>
      </x:c>
      <x:c r="N9" s="46" t="str">
        <x:v>Universe is computed as-of backtest start; no current-market-cap selection</x:v>
      </x:c>
      <x:c r="O9" s="46" t="str">
        <x:v>진행상황-개선기획.md §7 P-1; ai/ai_graph/data_sources/db.py</x:v>
      </x:c>
      <x:c r="P9" s="47" t="str">
        <x:v>Use editable DSN only in authorized environment</x:v>
      </x:c>
    </x:row>
    <x:row r="10" ht="42" customHeight="1">
      <x:c r="A10" s="73" t="str">
        <x:v>3.1</x:v>
      </x:c>
      <x:c r="B10" s="46" t="str">
        <x:v>Point-in-time data</x:v>
      </x:c>
      <x:c r="C10" s="46" t="str">
        <x:v>Unit and integration tests for as-of universe and minimum history</x:v>
      </x:c>
      <x:c r="D10" s="70" t="str">
        <x:v>QA / Data Engineer</x:v>
      </x:c>
      <x:c r="E10" s="46" t="str">
        <x:v>3.0</x:v>
      </x:c>
      <x:c r="F10" s="62" t="n">
        <x:f>'README'!$B$9+8</x:f>
        <x:v>46259</x:v>
      </x:c>
      <x:c r="G10" s="62" t="n">
        <x:f>F10+3-1</x:f>
        <x:v>46261</x:v>
      </x:c>
      <x:c r="H10" s="55" t="n">
        <x:f>G10-F10+1</x:f>
        <x:v>3</x:v>
      </x:c>
      <x:c r="I10" s="63" t="n">
        <x:v>4</x:v>
      </x:c>
      <x:c r="J10" s="67" t="n">
        <x:v>1</x:v>
      </x:c>
      <x:c r="K10" s="70" t="str">
        <x:v>Not Started</x:v>
      </x:c>
      <x:c r="L10" s="70" t="str">
        <x:v>P0</x:v>
      </x:c>
      <x:c r="M10" s="70" t="str">
        <x:v>High</x:v>
      </x:c>
      <x:c r="N10" s="46" t="str">
        <x:v>Tests cover 90-day window, ≥30 observations, and ranking determinism</x:v>
      </x:c>
      <x:c r="O10" s="46" t="str">
        <x:v>진행상황-개선기획.md §7 P-1</x:v>
      </x:c>
      <x:c r="P10" s="47" t="str"/>
    </x:row>
    <x:row r="11" ht="42" customHeight="1">
      <x:c r="A11" s="73" t="str">
        <x:v>3.2</x:v>
      </x:c>
      <x:c r="B11" s="46" t="str">
        <x:v>Point-in-time data</x:v>
      </x:c>
      <x:c r="C11" s="46" t="str">
        <x:v>Reproduce candidate-ranking change on real data and capture evidence</x:v>
      </x:c>
      <x:c r="D11" s="70" t="str">
        <x:v>Quant Research</x:v>
      </x:c>
      <x:c r="E11" s="46" t="str">
        <x:v>3.1</x:v>
      </x:c>
      <x:c r="F11" s="62" t="n">
        <x:f>'README'!$B$9+11</x:f>
        <x:v>46262</x:v>
      </x:c>
      <x:c r="G11" s="62" t="n">
        <x:f>F11+4-1</x:f>
        <x:v>46265</x:v>
      </x:c>
      <x:c r="H11" s="55" t="n">
        <x:f>G11-F11+1</x:f>
        <x:v>4</x:v>
      </x:c>
      <x:c r="I11" s="63" t="n">
        <x:v>5</x:v>
      </x:c>
      <x:c r="J11" s="67" t="n">
        <x:v>1</x:v>
      </x:c>
      <x:c r="K11" s="70" t="str">
        <x:v>Not Started</x:v>
      </x:c>
      <x:c r="L11" s="70" t="str">
        <x:v>P0</x:v>
      </x:c>
      <x:c r="M11" s="70" t="str">
        <x:v>High</x:v>
      </x:c>
      <x:c r="N11" s="46" t="str">
        <x:v>DSN-enabled harness records survivor vs point-in-time candidate ranking comparison</x:v>
      </x:c>
      <x:c r="O11" s="46" t="str">
        <x:v>진행상황-개선기획.md §7 real-data reproduction</x:v>
      </x:c>
      <x:c r="P11" s="47" t="str">
        <x:v>Blocked until authorized DSN is available</x:v>
      </x:c>
    </x:row>
    <x:row r="12" ht="42" customHeight="1">
      <x:c r="A12" s="73" t="str">
        <x:v>4.0</x:v>
      </x:c>
      <x:c r="B12" s="46" t="str">
        <x:v>Out-of-sample reporting</x:v>
      </x:c>
      <x:c r="C12" s="46" t="str">
        <x:v>Expose holdout-only headline metrics, candidate count, and deflated Sharpe (P-3)</x:v>
      </x:c>
      <x:c r="D12" s="70" t="str">
        <x:v>AI / Backend Engineer</x:v>
      </x:c>
      <x:c r="E12" s="46" t="str">
        <x:v>3.1</x:v>
      </x:c>
      <x:c r="F12" s="62" t="n">
        <x:f>'README'!$B$9+12</x:f>
        <x:v>46263</x:v>
      </x:c>
      <x:c r="G12" s="62" t="n">
        <x:f>F12+5-1</x:f>
        <x:v>46267</x:v>
      </x:c>
      <x:c r="H12" s="55" t="n">
        <x:f>G12-F12+1</x:f>
        <x:v>5</x:v>
      </x:c>
      <x:c r="I12" s="63" t="n">
        <x:v>6</x:v>
      </x:c>
      <x:c r="J12" s="67" t="n">
        <x:v>1</x:v>
      </x:c>
      <x:c r="K12" s="70" t="str">
        <x:v>Not Started</x:v>
      </x:c>
      <x:c r="L12" s="70" t="str">
        <x:v>P0</x:v>
      </x:c>
      <x:c r="M12" s="70" t="str">
        <x:v>High</x:v>
      </x:c>
      <x:c r="N12" s="46" t="str">
        <x:v>Headline uses untouched holdout; report displays candidate N and DSR with provenance</x:v>
      </x:c>
      <x:c r="O12" s="46" t="str">
        <x:v>진행상황-개선기획.md §2 P-3; §5</x:v>
      </x:c>
      <x:c r="P12" s="47" t="str">
        <x:v>No hard DSR gate</x:v>
      </x:c>
    </x:row>
    <x:row r="13" ht="42" customHeight="1">
      <x:c r="A13" s="73" t="str">
        <x:v>4.1</x:v>
      </x:c>
      <x:c r="B13" s="46" t="str">
        <x:v>Out-of-sample reporting</x:v>
      </x:c>
      <x:c r="C13" s="46" t="str">
        <x:v>Update report/FE projections and API contract tests for transparent metrics</x:v>
      </x:c>
      <x:c r="D13" s="70" t="str">
        <x:v>Frontend + QA</x:v>
      </x:c>
      <x:c r="E13" s="46" t="str">
        <x:v>4.0</x:v>
      </x:c>
      <x:c r="F13" s="62" t="n">
        <x:f>'README'!$B$9+16</x:f>
        <x:v>46267</x:v>
      </x:c>
      <x:c r="G13" s="62" t="n">
        <x:f>F13+3-1</x:f>
        <x:v>46269</x:v>
      </x:c>
      <x:c r="H13" s="55" t="n">
        <x:f>G13-F13+1</x:f>
        <x:v>3</x:v>
      </x:c>
      <x:c r="I13" s="63" t="n">
        <x:v>4</x:v>
      </x:c>
      <x:c r="J13" s="67" t="n">
        <x:v>1</x:v>
      </x:c>
      <x:c r="K13" s="70" t="str">
        <x:v>Not Started</x:v>
      </x:c>
      <x:c r="L13" s="70" t="str">
        <x:v>P0</x:v>
      </x:c>
      <x:c r="M13" s="70" t="str">
        <x:v>Medium</x:v>
      </x:c>
      <x:c r="N13" s="46" t="str">
        <x:v>API and UI contract tests prove metric labels and values agree</x:v>
      </x:c>
      <x:c r="O13" s="46" t="str">
        <x:v>README MVP spine; ai/tests/contracts; fe scripts</x:v>
      </x:c>
      <x:c r="P13" s="47" t="str"/>
    </x:row>
    <x:row r="14" ht="42" customHeight="1">
      <x:c r="A14" s="73" t="str">
        <x:v>5.0</x:v>
      </x:c>
      <x:c r="B14" s="46" t="str">
        <x:v>Recommendation safety</x:v>
      </x:c>
      <x:c r="C14" s="46" t="str">
        <x:v>Implement three-fold consistency abstention gate (P-2)</x:v>
      </x:c>
      <x:c r="D14" s="70" t="str">
        <x:v>AI / Quant Engineer</x:v>
      </x:c>
      <x:c r="E14" s="46" t="str">
        <x:v>4.0</x:v>
      </x:c>
      <x:c r="F14" s="62" t="n">
        <x:f>'README'!$B$9+17</x:f>
        <x:v>46268</x:v>
      </x:c>
      <x:c r="G14" s="62" t="n">
        <x:f>F14+6-1</x:f>
        <x:v>46273</x:v>
      </x:c>
      <x:c r="H14" s="55" t="n">
        <x:f>G14-F14+1</x:f>
        <x:v>6</x:v>
      </x:c>
      <x:c r="I14" s="63" t="n">
        <x:v>7</x:v>
      </x:c>
      <x:c r="J14" s="67" t="n">
        <x:v>1</x:v>
      </x:c>
      <x:c r="K14" s="70" t="str">
        <x:v>Not Started</x:v>
      </x:c>
      <x:c r="L14" s="70" t="str">
        <x:v>P0</x:v>
      </x:c>
      <x:c r="M14" s="70" t="str">
        <x:v>High</x:v>
      </x:c>
      <x:c r="N14" s="46" t="str">
        <x:v>Recommendation withheld unless 3/3 positive folds and mean Sharpe ≥ 0.5</x:v>
      </x:c>
      <x:c r="O14" s="46" t="str">
        <x:v>진행상황-개선기획.md §7 P-2</x:v>
      </x:c>
      <x:c r="P14" s="47" t="str">
        <x:v>Must distinguish abstention from failure</x:v>
      </x:c>
    </x:row>
    <x:row r="15" ht="42" customHeight="1">
      <x:c r="A15" s="73" t="str">
        <x:v>5.1</x:v>
      </x:c>
      <x:c r="B15" s="46" t="str">
        <x:v>Recommendation safety</x:v>
      </x:c>
      <x:c r="C15" s="46" t="str">
        <x:v>Test abstention states, reason codes, and 'no recommendation' UX</x:v>
      </x:c>
      <x:c r="D15" s="70" t="str">
        <x:v>QA + Frontend</x:v>
      </x:c>
      <x:c r="E15" s="46" t="str">
        <x:v>5.0</x:v>
      </x:c>
      <x:c r="F15" s="62" t="n">
        <x:f>'README'!$B$9+22</x:f>
        <x:v>46273</x:v>
      </x:c>
      <x:c r="G15" s="62" t="n">
        <x:f>F15+3-1</x:f>
        <x:v>46275</x:v>
      </x:c>
      <x:c r="H15" s="55" t="n">
        <x:f>G15-F15+1</x:f>
        <x:v>3</x:v>
      </x:c>
      <x:c r="I15" s="63" t="n">
        <x:v>4</x:v>
      </x:c>
      <x:c r="J15" s="67" t="n">
        <x:v>1</x:v>
      </x:c>
      <x:c r="K15" s="70" t="str">
        <x:v>Not Started</x:v>
      </x:c>
      <x:c r="L15" s="70" t="str">
        <x:v>P0</x:v>
      </x:c>
      <x:c r="M15" s="70" t="str">
        <x:v>Medium</x:v>
      </x:c>
      <x:c r="N15" s="46" t="str">
        <x:v>UI clearly renders cash/no-recommendation state and API reason</x:v>
      </x:c>
      <x:c r="O15" s="46" t="str">
        <x:v>진행상황-개선기획.md §5 P-2</x:v>
      </x:c>
      <x:c r="P15" s="47" t="str"/>
    </x:row>
    <x:row r="16" ht="42" customHeight="1">
      <x:c r="A16" s="73" t="str">
        <x:v>5.2</x:v>
      </x:c>
      <x:c r="B16" s="46" t="str">
        <x:v>Recommendation safety</x:v>
      </x:c>
      <x:c r="C16" s="46" t="str">
        <x:v>Measure gate trigger rate and return-dispersion effect on real data</x:v>
      </x:c>
      <x:c r="D16" s="70" t="str">
        <x:v>Quant Research</x:v>
      </x:c>
      <x:c r="E16" s="46" t="str">
        <x:v>5.1</x:v>
      </x:c>
      <x:c r="F16" s="62" t="n">
        <x:f>'README'!$B$9+25</x:f>
        <x:v>46276</x:v>
      </x:c>
      <x:c r="G16" s="62" t="n">
        <x:f>F16+3-1</x:f>
        <x:v>46278</x:v>
      </x:c>
      <x:c r="H16" s="55" t="n">
        <x:f>G16-F16+1</x:f>
        <x:v>3</x:v>
      </x:c>
      <x:c r="I16" s="63" t="n">
        <x:v>4</x:v>
      </x:c>
      <x:c r="J16" s="67" t="n">
        <x:v>1</x:v>
      </x:c>
      <x:c r="K16" s="70" t="str">
        <x:v>Not Started</x:v>
      </x:c>
      <x:c r="L16" s="70" t="str">
        <x:v>P1</x:v>
      </x:c>
      <x:c r="M16" s="70" t="str">
        <x:v>High</x:v>
      </x:c>
      <x:c r="N16" s="46" t="str">
        <x:v>Evidence records trigger rate near planning target and compares dispersion</x:v>
      </x:c>
      <x:c r="O16" s="46" t="str">
        <x:v>진행상황-개선기획.md §5 P-2; §7</x:v>
      </x:c>
      <x:c r="P16" s="47" t="str">
        <x:v>DSN-gated</x:v>
      </x:c>
    </x:row>
    <x:row r="17" ht="42" customHeight="1">
      <x:c r="A17" s="73" t="str">
        <x:v>6.0</x:v>
      </x:c>
      <x:c r="B17" s="46" t="str">
        <x:v>Backtest correctness</x:v>
      </x:c>
      <x:c r="C17" s="46" t="str">
        <x:v>Add indicator warm-up/min-period enforcement (P-5)</x:v>
      </x:c>
      <x:c r="D17" s="70" t="str">
        <x:v>AI / Quant Engineer</x:v>
      </x:c>
      <x:c r="E17" s="46" t="str">
        <x:v>1.1</x:v>
      </x:c>
      <x:c r="F17" s="62" t="n">
        <x:f>'README'!$B$9+18</x:f>
        <x:v>46269</x:v>
      </x:c>
      <x:c r="G17" s="62" t="n">
        <x:f>F17+3-1</x:f>
        <x:v>46271</x:v>
      </x:c>
      <x:c r="H17" s="55" t="n">
        <x:f>G17-F17+1</x:f>
        <x:v>3</x:v>
      </x:c>
      <x:c r="I17" s="63" t="n">
        <x:v>4</x:v>
      </x:c>
      <x:c r="J17" s="67" t="n">
        <x:v>1</x:v>
      </x:c>
      <x:c r="K17" s="70" t="str">
        <x:v>Not Started</x:v>
      </x:c>
      <x:c r="L17" s="70" t="str">
        <x:v>P1</x:v>
      </x:c>
      <x:c r="M17" s="70" t="str">
        <x:v>Medium</x:v>
      </x:c>
      <x:c r="N17" s="46" t="str">
        <x:v>Indicators are NaN/unavailable before their required lookback</x:v>
      </x:c>
      <x:c r="O17" s="46" t="str">
        <x:v>진행상황-개선기획.md §2 P-5</x:v>
      </x:c>
      <x:c r="P17" s="47" t="str"/>
    </x:row>
    <x:row r="18" ht="42" customHeight="1">
      <x:c r="A18" s="73" t="str">
        <x:v>6.1</x:v>
      </x:c>
      <x:c r="B18" s="46" t="str">
        <x:v>Backtest correctness</x:v>
      </x:c>
      <x:c r="C18" s="46" t="str">
        <x:v>Add regression tests for insufficient history and early-window signals</x:v>
      </x:c>
      <x:c r="D18" s="70" t="str">
        <x:v>QA / Quant Engineer</x:v>
      </x:c>
      <x:c r="E18" s="46" t="str">
        <x:v>6.0</x:v>
      </x:c>
      <x:c r="F18" s="62" t="n">
        <x:f>'README'!$B$9+21</x:f>
        <x:v>46272</x:v>
      </x:c>
      <x:c r="G18" s="62" t="n">
        <x:f>F18+2-1</x:f>
        <x:v>46273</x:v>
      </x:c>
      <x:c r="H18" s="55" t="n">
        <x:f>G18-F18+1</x:f>
        <x:v>2</x:v>
      </x:c>
      <x:c r="I18" s="63" t="n">
        <x:v>3</x:v>
      </x:c>
      <x:c r="J18" s="67" t="n">
        <x:v>1</x:v>
      </x:c>
      <x:c r="K18" s="70" t="str">
        <x:v>Not Started</x:v>
      </x:c>
      <x:c r="L18" s="70" t="str">
        <x:v>P1</x:v>
      </x:c>
      <x:c r="M18" s="70" t="str">
        <x:v>Medium</x:v>
      </x:c>
      <x:c r="N18" s="46" t="str">
        <x:v>Tests reject/withhold early-window signals for all relevant lookbacks</x:v>
      </x:c>
      <x:c r="O18" s="46" t="str">
        <x:v>진행상황-문제정의-2.md A-2; 진행상황-개선기획.md §5</x:v>
      </x:c>
      <x:c r="P18" s="47" t="str"/>
    </x:row>
    <x:row r="19" ht="42" customHeight="1">
      <x:c r="A19" s="73" t="str">
        <x:v>7.0</x:v>
      </x:c>
      <x:c r="B19" s="46" t="str">
        <x:v>Release assurance</x:v>
      </x:c>
      <x:c r="C19" s="46" t="str">
        <x:v>Run targeted unit, contract, integration, and fixture smoke suite</x:v>
      </x:c>
      <x:c r="D19" s="70" t="str">
        <x:v>QA Engineer</x:v>
      </x:c>
      <x:c r="E19" s="46" t="str">
        <x:v>2.1,4.1,5.1,6.1</x:v>
      </x:c>
      <x:c r="F19" s="62" t="n">
        <x:f>'README'!$B$9+28</x:f>
        <x:v>46279</x:v>
      </x:c>
      <x:c r="G19" s="62" t="n">
        <x:f>F19+4-1</x:f>
        <x:v>46282</x:v>
      </x:c>
      <x:c r="H19" s="55" t="n">
        <x:f>G19-F19+1</x:f>
        <x:v>4</x:v>
      </x:c>
      <x:c r="I19" s="63" t="n">
        <x:v>5</x:v>
      </x:c>
      <x:c r="J19" s="67" t="n">
        <x:v>1</x:v>
      </x:c>
      <x:c r="K19" s="70" t="str">
        <x:v>Not Started</x:v>
      </x:c>
      <x:c r="L19" s="70" t="str">
        <x:v>P0</x:v>
      </x:c>
      <x:c r="M19" s="70" t="str">
        <x:v>High</x:v>
      </x:c>
      <x:c r="N19" s="46" t="str">
        <x:v>All targeted checks pass; failures are triaged with owner and evidence</x:v>
      </x:c>
      <x:c r="O19" s="46" t="str">
        <x:v>README verification contract; project tests</x:v>
      </x:c>
      <x:c r="P19" s="47" t="str"/>
    </x:row>
    <x:row r="20" ht="42" customHeight="1">
      <x:c r="A20" s="73" t="str">
        <x:v>7.1</x:v>
      </x:c>
      <x:c r="B20" s="46" t="str">
        <x:v>Release assurance</x:v>
      </x:c>
      <x:c r="C20" s="46" t="str">
        <x:v>Run authorized real-data validation and document limits</x:v>
      </x:c>
      <x:c r="D20" s="70" t="str">
        <x:v>QA + Quant Research</x:v>
      </x:c>
      <x:c r="E20" s="46" t="str">
        <x:v>3.2,5.2,7.0</x:v>
      </x:c>
      <x:c r="F20" s="62" t="n">
        <x:f>'README'!$B$9+32</x:f>
        <x:v>46283</x:v>
      </x:c>
      <x:c r="G20" s="62" t="n">
        <x:f>F20+3-1</x:f>
        <x:v>46285</x:v>
      </x:c>
      <x:c r="H20" s="55" t="n">
        <x:f>G20-F20+1</x:f>
        <x:v>3</x:v>
      </x:c>
      <x:c r="I20" s="63" t="n">
        <x:v>4</x:v>
      </x:c>
      <x:c r="J20" s="67" t="n">
        <x:v>1</x:v>
      </x:c>
      <x:c r="K20" s="70" t="str">
        <x:v>Not Started</x:v>
      </x:c>
      <x:c r="L20" s="70" t="str">
        <x:v>P0</x:v>
      </x:c>
      <x:c r="M20" s="70" t="str">
        <x:v>High</x:v>
      </x:c>
      <x:c r="N20" s="46" t="str">
        <x:v>Real-data results captured or explicit DSN/authority gap documented</x:v>
      </x:c>
      <x:c r="O20" s="46" t="str">
        <x:v>진행상황-개선기획.md §7</x:v>
      </x:c>
      <x:c r="P20" s="47" t="str"/>
    </x:row>
    <x:row r="21" ht="42" customHeight="1">
      <x:c r="A21" s="74" t="str">
        <x:v>8.0</x:v>
      </x:c>
      <x:c r="B21" s="49" t="str">
        <x:v>Release readiness</x:v>
      </x:c>
      <x:c r="C21" s="49" t="str">
        <x:v>Release review, rollback plan, user-facing disclosure, and go/no-go</x:v>
      </x:c>
      <x:c r="D21" s="71" t="str">
        <x:v>Product / Delivery</x:v>
      </x:c>
      <x:c r="E21" s="49" t="str">
        <x:v>7.0,7.1</x:v>
      </x:c>
      <x:c r="F21" s="64" t="n">
        <x:f>'README'!$B$9+35</x:f>
        <x:v>46286</x:v>
      </x:c>
      <x:c r="G21" s="64" t="n">
        <x:f>F21+3-1</x:f>
        <x:v>46288</x:v>
      </x:c>
      <x:c r="H21" s="56" t="n">
        <x:f>G21-F21+1</x:f>
        <x:v>3</x:v>
      </x:c>
      <x:c r="I21" s="65" t="n">
        <x:v>4</x:v>
      </x:c>
      <x:c r="J21" s="68" t="n">
        <x:v>1</x:v>
      </x:c>
      <x:c r="K21" s="71" t="str">
        <x:v>Not Started</x:v>
      </x:c>
      <x:c r="L21" s="71" t="str">
        <x:v>P0</x:v>
      </x:c>
      <x:c r="M21" s="71" t="str">
        <x:v>High</x:v>
      </x:c>
      <x:c r="N21" s="49" t="str">
        <x:v>Go/no-go decision has test evidence, known limitations, and rollback owner</x:v>
      </x:c>
      <x:c r="O21" s="49" t="str">
        <x:v>README operational profile; improvement plan §5</x:v>
      </x:c>
      <x:c r="P21" s="50" t="str"/>
    </x:row>
  </x:sheetData>
  <x:mergeCells>
    <x:mergeCell ref="A1:P1"/>
    <x:mergeCell ref="A2:P2"/>
  </x:mergeCells>
  <x:conditionalFormatting sqref="M5:M21">
    <x:cfRule type="containsText" dxfId="0" priority="1" operator="containsText" text="High"/>
  </x:conditionalFormatting>
  <x:conditionalFormatting sqref="L5:L21">
    <x:cfRule type="containsText" dxfId="1" priority="2" operator="containsText" text="P0"/>
  </x:conditionalFormatting>
  <x:conditionalFormatting sqref="K5:K21">
    <x:cfRule type="containsText" dxfId="2" priority="3" operator="containsText" text="Done"/>
  </x:conditionalFormatting>
  <x:dataValidations count="4">
    <x:dataValidation type="list" sqref="K5:K21">
      <x:formula1>"Not Started,In Progress,Blocked,Done"</x:formula1>
    </x:dataValidation>
    <x:dataValidation type="list" sqref="L5:L21">
      <x:formula1>"P0,P1,P2"</x:formula1>
    </x:dataValidation>
    <x:dataValidation type="list" sqref="M5:M21">
      <x:formula1>"Low,Medium,High"</x:formula1>
    </x:dataValidation>
    <x:dataValidation type="decimal" operator="between" sqref="J5:J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e35bdca12d840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17" hidden="0" customWidth="1"/>
    <x:col min="5" max="5" width="48" hidden="0" customWidth="1"/>
    <x:col min="6" max="6" width="14" hidden="0" customWidth="1"/>
    <x:col min="7" max="7" width="10" hidden="0" customWidth="1"/>
    <x:col min="8" max="8" width="10" hidden="0" customWidth="1"/>
    <x:col min="9" max="9" width="17" hidden="0" customWidth="1"/>
    <x:col min="10" max="10" width="24" hidden="0" customWidth="1"/>
  </x:cols>
  <x:sheetData>
    <x:row r="1" ht="30" customHeight="1">
      <x:c r="A1" s="4" t="str">
        <x:v>QuantAgent Delivery Milestones</x:v>
      </x:c>
    </x:row>
    <x:row r="2" ht="28" customHeight="1">
      <x:c r="A2" s="8" t="str">
        <x:v>Milestone dates update from the README planning start date through linked WBS schedule formulas.</x:v>
      </x:c>
    </x:row>
    <x:row r="4" ht="30" customHeight="1">
      <x:c r="A4" s="20" t="str">
        <x:v>Milestone</x:v>
      </x:c>
      <x:c r="B4" s="21" t="str">
        <x:v>Target Date</x:v>
      </x:c>
      <x:c r="C4" s="21" t="str">
        <x:v>Owner Role</x:v>
      </x:c>
      <x:c r="D4" s="21" t="str">
        <x:v>Linked WBS</x:v>
      </x:c>
      <x:c r="E4" s="21" t="str">
        <x:v>Exit / Evidence</x:v>
      </x:c>
      <x:c r="F4" s="21" t="str">
        <x:v>Status</x:v>
      </x:c>
      <x:c r="G4" s="21" t="str">
        <x:v>Priority</x:v>
      </x:c>
      <x:c r="H4" s="21" t="str">
        <x:v>Risk</x:v>
      </x:c>
      <x:c r="I4" s="21" t="str">
        <x:v>Schedule Check</x:v>
      </x:c>
      <x:c r="J4" s="22" t="str">
        <x:v>Notes</x:v>
      </x:c>
    </x:row>
    <x:row r="5" ht="44" customHeight="1">
      <x:c r="A5" s="42" t="str">
        <x:v>M0 — Planning baseline approved</x:v>
      </x:c>
      <x:c r="B5" s="60" t="n">
        <x:f>'WBS'!$G$5</x:f>
        <x:v>46252</x:v>
      </x:c>
      <x:c r="C5" s="43" t="str">
        <x:v>Product / Delivery</x:v>
      </x:c>
      <x:c r="D5" s="43" t="str">
        <x:v>1.0,1.1</x:v>
      </x:c>
      <x:c r="E5" s="43" t="str">
        <x:v>Scope, validation matrix, cadence, and evidence register approved</x:v>
      </x:c>
      <x:c r="F5" s="69" t="str">
        <x:v>Not Started</x:v>
      </x:c>
      <x:c r="G5" s="69" t="str">
        <x:v>P0</x:v>
      </x:c>
      <x:c r="H5" s="69" t="str">
        <x:v>Medium</x:v>
      </x:c>
      <x:c r="I5" s="43" t="str">
        <x:f>IF(B5&lt;'README'!$B$10,"On track","Review date")</x:f>
        <x:v>On track</x:v>
      </x:c>
      <x:c r="J5" s="44" t="str"/>
    </x:row>
    <x:row r="6" ht="44" customHeight="1">
      <x:c r="A6" s="45" t="str">
        <x:v>M1 — Truthful FE copy released</x:v>
      </x:c>
      <x:c r="B6" s="62" t="n">
        <x:f>'WBS'!$G$7</x:f>
        <x:v>46254</x:v>
      </x:c>
      <x:c r="C6" s="46" t="str">
        <x:v>Frontend Engineer</x:v>
      </x:c>
      <x:c r="D6" s="46" t="str">
        <x:v>2.0,2.1</x:v>
      </x:c>
      <x:c r="E6" s="46" t="str">
        <x:v>Unsupported walk-forward claim removed; regression test passes</x:v>
      </x:c>
      <x:c r="F6" s="70" t="str">
        <x:v>Not Started</x:v>
      </x:c>
      <x:c r="G6" s="70" t="str">
        <x:v>P0</x:v>
      </x:c>
      <x:c r="H6" s="70" t="str">
        <x:v>Low</x:v>
      </x:c>
      <x:c r="I6" s="46" t="str">
        <x:f>IF(B6&lt;'README'!$B$10,"On track","Review date")</x:f>
        <x:v>On track</x:v>
      </x:c>
      <x:c r="J6" s="47" t="str"/>
    </x:row>
    <x:row r="7" ht="44" customHeight="1">
      <x:c r="A7" s="45" t="str">
        <x:v>M2 — Point-in-time universe validated</x:v>
      </x:c>
      <x:c r="B7" s="62" t="n">
        <x:f>'WBS'!$G$10</x:f>
        <x:v>46261</x:v>
      </x:c>
      <x:c r="C7" s="46" t="str">
        <x:v>Data / Backend + QA</x:v>
      </x:c>
      <x:c r="D7" s="46" t="str">
        <x:v>3.0,3.1,3.2</x:v>
      </x:c>
      <x:c r="E7" s="46" t="str">
        <x:v>As-of query, automated tests, and authorized real-data ranking evidence complete</x:v>
      </x:c>
      <x:c r="F7" s="70" t="str">
        <x:v>Not Started</x:v>
      </x:c>
      <x:c r="G7" s="70" t="str">
        <x:v>P0</x:v>
      </x:c>
      <x:c r="H7" s="70" t="str">
        <x:v>High</x:v>
      </x:c>
      <x:c r="I7" s="46" t="str">
        <x:f>IF(B7&lt;'README'!$B$10,"On track","Review date")</x:f>
        <x:v>On track</x:v>
      </x:c>
      <x:c r="J7" s="47" t="str"/>
    </x:row>
    <x:row r="8" ht="44" customHeight="1">
      <x:c r="A8" s="45" t="str">
        <x:v>M3 — Holdout reporting released</x:v>
      </x:c>
      <x:c r="B8" s="62" t="n">
        <x:f>'WBS'!$G$12</x:f>
        <x:v>46267</x:v>
      </x:c>
      <x:c r="C8" s="46" t="str">
        <x:v>AI / Backend + Frontend</x:v>
      </x:c>
      <x:c r="D8" s="46" t="str">
        <x:v>4.0,4.1</x:v>
      </x:c>
      <x:c r="E8" s="46" t="str">
        <x:v>Holdout headline, candidate N, DSR, and contract tests complete</x:v>
      </x:c>
      <x:c r="F8" s="70" t="str">
        <x:v>Not Started</x:v>
      </x:c>
      <x:c r="G8" s="70" t="str">
        <x:v>P0</x:v>
      </x:c>
      <x:c r="H8" s="70" t="str">
        <x:v>High</x:v>
      </x:c>
      <x:c r="I8" s="46" t="str">
        <x:f>IF(B8&lt;'README'!$B$10,"On track","Review date")</x:f>
        <x:v>On track</x:v>
      </x:c>
      <x:c r="J8" s="47" t="str"/>
    </x:row>
    <x:row r="9" ht="44" customHeight="1">
      <x:c r="A9" s="45" t="str">
        <x:v>M4 — Abstention gate and UX validated</x:v>
      </x:c>
      <x:c r="B9" s="62" t="n">
        <x:f>'WBS'!$G$15</x:f>
        <x:v>46275</x:v>
      </x:c>
      <x:c r="C9" s="46" t="str">
        <x:v>AI / Quant + QA</x:v>
      </x:c>
      <x:c r="D9" s="46" t="str">
        <x:v>5.0,5.1,5.2</x:v>
      </x:c>
      <x:c r="E9" s="46" t="str">
        <x:v>Gate decision, reason code, no-recommendation UX, and validation evidence complete</x:v>
      </x:c>
      <x:c r="F9" s="70" t="str">
        <x:v>Not Started</x:v>
      </x:c>
      <x:c r="G9" s="70" t="str">
        <x:v>P0</x:v>
      </x:c>
      <x:c r="H9" s="70" t="str">
        <x:v>High</x:v>
      </x:c>
      <x:c r="I9" s="46" t="str">
        <x:f>IF(B9&lt;'README'!$B$10,"On track","Review date")</x:f>
        <x:v>On track</x:v>
      </x:c>
      <x:c r="J9" s="47" t="str"/>
    </x:row>
    <x:row r="10" ht="44" customHeight="1">
      <x:c r="A10" s="45" t="str">
        <x:v>M5 — Warm-up correctness locked</x:v>
      </x:c>
      <x:c r="B10" s="62" t="n">
        <x:f>'WBS'!$G$17</x:f>
        <x:v>46271</x:v>
      </x:c>
      <x:c r="C10" s="46" t="str">
        <x:v>AI / Quant + QA</x:v>
      </x:c>
      <x:c r="D10" s="46" t="str">
        <x:v>6.0,6.1</x:v>
      </x:c>
      <x:c r="E10" s="46" t="str">
        <x:v>Pre-window values unavailable and regression tests pass</x:v>
      </x:c>
      <x:c r="F10" s="70" t="str">
        <x:v>Not Started</x:v>
      </x:c>
      <x:c r="G10" s="70" t="str">
        <x:v>P1</x:v>
      </x:c>
      <x:c r="H10" s="70" t="str">
        <x:v>Medium</x:v>
      </x:c>
      <x:c r="I10" s="46" t="str">
        <x:f>IF(B10&lt;'README'!$B$10,"On track","Review date")</x:f>
        <x:v>On track</x:v>
      </x:c>
      <x:c r="J10" s="47" t="str"/>
    </x:row>
    <x:row r="11" ht="44" customHeight="1">
      <x:c r="A11" s="48" t="str">
        <x:v>M6 — Release go/no-go</x:v>
      </x:c>
      <x:c r="B11" s="64" t="n">
        <x:f>'WBS'!$G$21</x:f>
        <x:v>46288</x:v>
      </x:c>
      <x:c r="C11" s="49" t="str">
        <x:v>Product / Delivery</x:v>
      </x:c>
      <x:c r="D11" s="49" t="str">
        <x:v>7.0,7.1,8.0</x:v>
      </x:c>
      <x:c r="E11" s="49" t="str">
        <x:v>Automated suite, real-data limits, rollback, disclosure, and decision recorded</x:v>
      </x:c>
      <x:c r="F11" s="71" t="str">
        <x:v>Not Started</x:v>
      </x:c>
      <x:c r="G11" s="71" t="str">
        <x:v>P0</x:v>
      </x:c>
      <x:c r="H11" s="71" t="str">
        <x:v>High</x:v>
      </x:c>
      <x:c r="I11" s="49" t="str">
        <x:f>IF(B11&lt;'README'!$B$10,"On track","Review date")</x:f>
        <x:v>Review date</x:v>
      </x:c>
      <x:c r="J11" s="50" t="str"/>
    </x:row>
  </x:sheetData>
  <x:mergeCells>
    <x:mergeCell ref="A1:J1"/>
    <x:mergeCell ref="A2:J2"/>
  </x:mergeCells>
  <x:conditionalFormatting sqref="H5:H11">
    <x:cfRule type="containsText" dxfId="3" priority="1" operator="containsText" text="High"/>
  </x:conditionalFormatting>
  <x:dataValidations count="3">
    <x:dataValidation type="list" sqref="F5:F11">
      <x:formula1>"Not Started,In Progress,Blocked,Done"</x:formula1>
    </x:dataValidation>
    <x:dataValidation type="list" sqref="G5:G11">
      <x:formula1>"P0,P1,P2"</x:formula1>
    </x:dataValidation>
    <x:dataValidation type="list" sqref="H5:H1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6e9ce34f545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24" hidden="0" customWidth="1"/>
    <x:col min="8" max="8" width="50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QuantAgent Delivery Risk Register</x:v>
      </x:c>
    </x:row>
    <x:row r="2" ht="28" customHeight="1">
      <x:c r="A2" s="8" t="str">
        <x:v>Risk score and response priority are formula-driven from editable probability and impact inputs. High-risk items require an explicit owner and review cadence.</x:v>
      </x:c>
    </x:row>
    <x:row r="4" ht="30" customHeight="1">
      <x:c r="A4" s="20" t="str">
        <x:v>Risk ID</x:v>
      </x:c>
      <x:c r="B4" s="21" t="str">
        <x:v>Risk / Trigger</x:v>
      </x:c>
      <x:c r="C4" s="21" t="str">
        <x:v>Probability</x:v>
      </x:c>
      <x:c r="D4" s="21" t="str">
        <x:v>Impact</x:v>
      </x:c>
      <x:c r="E4" s="21" t="str">
        <x:v>Score</x:v>
      </x:c>
      <x:c r="F4" s="21" t="str">
        <x:v>Level</x:v>
      </x:c>
      <x:c r="G4" s="21" t="str">
        <x:v>Owner Role</x:v>
      </x:c>
      <x:c r="H4" s="21" t="str">
        <x:v>Mitigation / Contingency</x:v>
      </x:c>
      <x:c r="I4" s="21" t="str">
        <x:v>Linked WBS</x:v>
      </x:c>
      <x:c r="J4" s="21" t="str">
        <x:v>Review Cadence</x:v>
      </x:c>
      <x:c r="K4" s="22" t="str">
        <x:v>Status</x:v>
      </x:c>
    </x:row>
    <x:row r="5" ht="50" customHeight="1">
      <x:c r="A5" s="42" t="str">
        <x:v>R-01</x:v>
      </x:c>
      <x:c r="B5" s="43" t="str">
        <x:v>Authorized real-data DSN is unavailable, preventing point-in-time ranking and gate validation</x:v>
      </x:c>
      <x:c r="C5" s="66" t="n">
        <x:v>0.6</x:v>
      </x:c>
      <x:c r="D5" s="78" t="n">
        <x:v>5</x:v>
      </x:c>
      <x:c r="E5" s="75" t="n">
        <x:f>C5*D5</x:f>
        <x:v>3</x:v>
      </x:c>
      <x:c r="F5" s="43" t="str">
        <x:f>IF(E5&gt;=15,"High",IF(E5&gt;=8,"Medium","Low"))</x:f>
        <x:v>Low</x:v>
      </x:c>
      <x:c r="G5" s="43" t="str">
        <x:v>QA / Quant Research</x:v>
      </x:c>
      <x:c r="H5" s="43" t="str">
        <x:v>Use deterministic fixture checks; log validation gap; schedule authorized-environment run before go/no-go</x:v>
      </x:c>
      <x:c r="I5" s="43" t="str">
        <x:v>3.2,5.2,7.1</x:v>
      </x:c>
      <x:c r="J5" s="43" t="str">
        <x:v>Weekly</x:v>
      </x:c>
      <x:c r="K5" s="44" t="str">
        <x:v>Open</x:v>
      </x:c>
    </x:row>
    <x:row r="6" ht="50" customHeight="1">
      <x:c r="A6" s="45" t="str">
        <x:v>R-02</x:v>
      </x:c>
      <x:c r="B6" s="46" t="str">
        <x:v>Point-in-time universe changes candidate selection or visibly lowers headline return</x:v>
      </x:c>
      <x:c r="C6" s="67" t="n">
        <x:v>0.8</x:v>
      </x:c>
      <x:c r="D6" s="79" t="n">
        <x:v>5</x:v>
      </x:c>
      <x:c r="E6" s="76" t="n">
        <x:f>C6*D6</x:f>
        <x:v>4</x:v>
      </x:c>
      <x:c r="F6" s="46" t="str">
        <x:f>IF(E6&gt;=15,"High",IF(E6&gt;=8,"Medium","Low"))</x:f>
        <x:v>Low</x:v>
      </x:c>
      <x:c r="G6" s="46" t="str">
        <x:v>Product + Quant Research</x:v>
      </x:c>
      <x:c r="H6" s="46" t="str">
        <x:v>Pre-brief stakeholders; publish measurement rationale; compare candidates and holdout results</x:v>
      </x:c>
      <x:c r="I6" s="46" t="str">
        <x:v>3.0-3.2,4.0</x:v>
      </x:c>
      <x:c r="J6" s="46" t="str">
        <x:v>Weekly</x:v>
      </x:c>
      <x:c r="K6" s="47" t="str">
        <x:v>Open</x:v>
      </x:c>
    </x:row>
    <x:row r="7" ht="50" customHeight="1">
      <x:c r="A7" s="45" t="str">
        <x:v>R-03</x:v>
      </x:c>
      <x:c r="B7" s="46" t="str">
        <x:v>Abstention gate produces more no-recommendation states than product expectations</x:v>
      </x:c>
      <x:c r="C7" s="67" t="n">
        <x:v>0.6</x:v>
      </x:c>
      <x:c r="D7" s="79" t="n">
        <x:v>4</x:v>
      </x:c>
      <x:c r="E7" s="76" t="n">
        <x:f>C7*D7</x:f>
        <x:v>2.4</x:v>
      </x:c>
      <x:c r="F7" s="46" t="str">
        <x:f>IF(E7&gt;=15,"High",IF(E7&gt;=8,"Medium","Low"))</x:f>
        <x:v>Low</x:v>
      </x:c>
      <x:c r="G7" s="46" t="str">
        <x:v>AI / Quant + Product</x:v>
      </x:c>
      <x:c r="H7" s="46" t="str">
        <x:v>Define UX copy and decision policy; monitor trigger rate; never treat abstention as failure</x:v>
      </x:c>
      <x:c r="I7" s="46" t="str">
        <x:v>5.0-5.2</x:v>
      </x:c>
      <x:c r="J7" s="46" t="str">
        <x:v>Weekly</x:v>
      </x:c>
      <x:c r="K7" s="47" t="str">
        <x:v>Open</x:v>
      </x:c>
    </x:row>
    <x:row r="8" ht="50" customHeight="1">
      <x:c r="A8" s="45" t="str">
        <x:v>R-04</x:v>
      </x:c>
      <x:c r="B8" s="46" t="str">
        <x:v>Metric/API changes drift from FE labels or consumers</x:v>
      </x:c>
      <x:c r="C8" s="67" t="n">
        <x:v>0.4</x:v>
      </x:c>
      <x:c r="D8" s="79" t="n">
        <x:v>4</x:v>
      </x:c>
      <x:c r="E8" s="76" t="n">
        <x:f>C8*D8</x:f>
        <x:v>1.6</x:v>
      </x:c>
      <x:c r="F8" s="46" t="str">
        <x:f>IF(E8&gt;=15,"High",IF(E8&gt;=8,"Medium","Low"))</x:f>
        <x:v>Low</x:v>
      </x:c>
      <x:c r="G8" s="46" t="str">
        <x:v>Frontend + QA</x:v>
      </x:c>
      <x:c r="H8" s="46" t="str">
        <x:v>Version contract fixtures and run targeted API/FE regression suite</x:v>
      </x:c>
      <x:c r="I8" s="46" t="str">
        <x:v>4.0,4.1,7.0</x:v>
      </x:c>
      <x:c r="J8" s="46" t="str">
        <x:v>Weekly</x:v>
      </x:c>
      <x:c r="K8" s="47" t="str">
        <x:v>Open</x:v>
      </x:c>
    </x:row>
    <x:row r="9" ht="50" customHeight="1">
      <x:c r="A9" s="45" t="str">
        <x:v>R-05</x:v>
      </x:c>
      <x:c r="B9" s="46" t="str">
        <x:v>Warm-up enforcement changes early trades and causes unexpected result deltas</x:v>
      </x:c>
      <x:c r="C9" s="67" t="n">
        <x:v>0.5</x:v>
      </x:c>
      <x:c r="D9" s="79" t="n">
        <x:v>3</x:v>
      </x:c>
      <x:c r="E9" s="76" t="n">
        <x:f>C9*D9</x:f>
        <x:v>1.5</x:v>
      </x:c>
      <x:c r="F9" s="46" t="str">
        <x:f>IF(E9&gt;=15,"High",IF(E9&gt;=8,"Medium","Low"))</x:f>
        <x:v>Low</x:v>
      </x:c>
      <x:c r="G9" s="46" t="str">
        <x:v>AI / Quant Engineer</x:v>
      </x:c>
      <x:c r="H9" s="46" t="str">
        <x:v>Add before/after fixture baselines; document expected early-window behavior</x:v>
      </x:c>
      <x:c r="I9" s="46" t="str">
        <x:v>6.0,6.1</x:v>
      </x:c>
      <x:c r="J9" s="46" t="str">
        <x:v>Weekly</x:v>
      </x:c>
      <x:c r="K9" s="47" t="str">
        <x:v>Open</x:v>
      </x:c>
    </x:row>
    <x:row r="10" ht="50" customHeight="1">
      <x:c r="A10" s="48" t="str">
        <x:v>R-06</x:v>
      </x:c>
      <x:c r="B10" s="49" t="str">
        <x:v>Release occurs without rollback evidence or disclosure of remaining limits</x:v>
      </x:c>
      <x:c r="C10" s="68" t="n">
        <x:v>0.3</x:v>
      </x:c>
      <x:c r="D10" s="80" t="n">
        <x:v>5</x:v>
      </x:c>
      <x:c r="E10" s="77" t="n">
        <x:f>C10*D10</x:f>
        <x:v>1.5</x:v>
      </x:c>
      <x:c r="F10" s="49" t="str">
        <x:f>IF(E10&gt;=15,"High",IF(E10&gt;=8,"Medium","Low"))</x:f>
        <x:v>Low</x:v>
      </x:c>
      <x:c r="G10" s="49" t="str">
        <x:v>Product / Delivery</x:v>
      </x:c>
      <x:c r="H10" s="49" t="str">
        <x:v>Require release checklist, rollback owner, and known-limitations sign-off</x:v>
      </x:c>
      <x:c r="I10" s="49" t="str">
        <x:v>8.0</x:v>
      </x:c>
      <x:c r="J10" s="49" t="str">
        <x:v>At go/no-go</x:v>
      </x:c>
      <x:c r="K10" s="50" t="str">
        <x:v>Open</x:v>
      </x:c>
    </x:row>
  </x:sheetData>
  <x:mergeCells>
    <x:mergeCell ref="A1:K1"/>
    <x:mergeCell ref="A2:K2"/>
  </x:mergeCells>
  <x:conditionalFormatting sqref="F5:F10">
    <x:cfRule type="containsText" dxfId="4" priority="1" operator="containsText" text="High"/>
    <x:cfRule type="containsText" dxfId="5" priority="2" operator="containsText" text="Medium"/>
  </x:conditionalFormatting>
  <x:dataValidations count="3">
    <x:dataValidation type="decimal" operator="between" sqref="C5:C10">
      <x:formula1>0</x:formula1>
      <x:formula2>1</x:formula2>
    </x:dataValidation>
    <x:dataValidation type="whole" operator="between" sqref="D5:D10">
      <x:formula1>1</x:formula1>
      <x:formula2>5</x:formula2>
    </x:dataValidation>
    <x:dataValidation type="list" sqref="K5:K10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3b3e51722f44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43" hidden="0" customWidth="1"/>
    <x:col min="4" max="4" width="4" hidden="0" customWidth="1"/>
    <x:col min="5" max="5" width="23" hidden="0" customWidth="1"/>
    <x:col min="6" max="6" width="16" hidden="0" customWidth="1"/>
    <x:col min="7" max="7" width="39" hidden="0" customWidth="1"/>
    <x:col min="8" max="8" width="4" hidden="0" customWidth="1"/>
  </x:cols>
  <x:sheetData>
    <x:row r="1" ht="30" customHeight="1">
      <x:c r="A1" s="4" t="str">
        <x:v>QuantAgent WBS — Read Me</x:v>
      </x:c>
    </x:row>
    <x:row r="2" ht="28" customHeight="1">
      <x:c r="A2" s="8" t="str">
        <x:v>A source-backed, editable execution baseline for correctness and operational-stability remediation. This workbook is a plan, not a statement that real-data validation is complete.</x:v>
      </x:c>
    </x:row>
    <x:row r="4" ht="30" customHeight="1">
      <x:c r="A4" s="20" t="str">
        <x:v>Planning Controls</x:v>
      </x:c>
      <x:c r="B4" s="21" t="str">
        <x:v>Value</x:v>
      </x:c>
      <x:c r="C4" s="21" t="str">
        <x:v>Formula / Meaning</x:v>
      </x:c>
      <x:c r="D4" s="21" t="str"/>
      <x:c r="E4" s="21" t="str">
        <x:v>Portfolio Summary</x:v>
      </x:c>
      <x:c r="F4" s="21" t="str">
        <x:v>Value</x:v>
      </x:c>
      <x:c r="G4" s="21" t="str">
        <x:v>Formula / Meaning</x:v>
      </x:c>
      <x:c r="H4" s="22" t="str"/>
    </x:row>
    <x:row r="5" ht="22" customHeight="1">
      <x:c r="A5" s="42" t="str">
        <x:v>Planning horizon</x:v>
      </x:c>
      <x:c r="B5" s="43" t="str">
        <x:v>12 weeks</x:v>
      </x:c>
      <x:c r="C5" s="44" t="str">
        <x:v>Editable planning baseline</x:v>
      </x:c>
      <x:c r="F5" s="90" t="str">
        <x:v>Total work items</x:v>
      </x:c>
      <x:c r="G5" s="97" t="n">
        <x:f>COUNTA('WBS'!$A$5:$A$21)</x:f>
        <x:v>17</x:v>
      </x:c>
    </x:row>
    <x:row r="6" ht="22" customHeight="1">
      <x:c r="A6" s="45" t="str">
        <x:v>Planning start date</x:v>
      </x:c>
      <x:c r="B6" s="70" t="n">
        <x:v>46251</x:v>
      </x:c>
      <x:c r="C6" s="47" t="str">
        <x:v>Editable input used by WBS start/finish formulas</x:v>
      </x:c>
      <x:c r="F6" s="91" t="str">
        <x:v>Planned effort days</x:v>
      </x:c>
      <x:c r="G6" s="98" t="n">
        <x:f>SUM('WBS'!$I$5:$I$21)</x:f>
        <x:v>68</x:v>
      </x:c>
    </x:row>
    <x:row r="7" ht="22" customHeight="1">
      <x:c r="A7" s="45" t="str">
        <x:v>Target release date</x:v>
      </x:c>
      <x:c r="B7" s="70"/>
      <x:c r="C7" s="47" t="str">
        <x:v>Formula: final planned WBS finish</x:v>
      </x:c>
      <x:c r="F7" s="91" t="str">
        <x:v>Planned duration days</x:v>
      </x:c>
      <x:c r="G7" s="98" t="n">
        <x:f>MAX('WBS'!$G$5:$G$21)-'README'!$B$9+1</x:f>
        <x:v>38</x:v>
      </x:c>
    </x:row>
    <x:row r="8" ht="22" customHeight="1">
      <x:c r="A8" s="45" t="str">
        <x:v>Named owners</x:v>
      </x:c>
      <x:c r="B8" s="70" t="str">
        <x:v>Not established</x:v>
      </x:c>
      <x:c r="C8" s="47" t="str">
        <x:v>Role-based ownership is intentional until capacity is confirmed</x:v>
      </x:c>
      <x:c r="F8" s="91" t="str">
        <x:v>Average completion</x:v>
      </x:c>
      <x:c r="G8" s="99" t="n">
        <x:f>AVERAGE('WBS'!$J$5:$J$21)</x:f>
        <x:v>0.8823529411764706</x:v>
      </x:c>
    </x:row>
    <x:row r="9" ht="22" customHeight="1">
      <x:c r="A9" s="45" t="str">
        <x:v>Source status</x:v>
      </x:c>
      <x:c r="B9" s="93" t="n">
        <x:v>46251</x:v>
      </x:c>
      <x:c r="C9" s="47" t="str">
        <x:v>See source registry below</x:v>
      </x:c>
      <x:c r="F9" s="91" t="str">
        <x:v>Open high risks</x:v>
      </x:c>
      <x:c r="G9" s="100" t="n">
        <x:f>COUNTIF('Risks'!$F$5:$F$10,"High")</x:f>
        <x:v>0</x:v>
      </x:c>
    </x:row>
    <x:row r="10" ht="22" customHeight="1">
      <x:c r="A10" s="45" t="str">
        <x:v>Real-data validation</x:v>
      </x:c>
      <x:c r="B10" s="93" t="n">
        <x:f>MAX('WBS'!$G$5:$G$21)</x:f>
        <x:v>46288</x:v>
      </x:c>
      <x:c r="C10" s="47" t="str">
        <x:v>Not represented as complete without authorized execution</x:v>
      </x:c>
      <x:c r="F10" s="91" t="str">
        <x:v>Schedule state</x:v>
      </x:c>
      <x:c r="G10" s="100" t="str">
        <x:f>IF(G9&gt;0,"Review high risks","No high risks")</x:f>
        <x:v>No high risks</x:v>
      </x:c>
    </x:row>
    <x:row r="11" ht="22" customHeight="1">
      <x:c r="A11" s="48" t="str">
        <x:v>Color convention</x:v>
      </x:c>
      <x:c r="B11" s="71" t="str">
        <x:v>Blue = editable; Green = cross-sheet link; Black = formula</x:v>
      </x:c>
      <x:c r="C11" s="50" t="str">
        <x:v>Inputs may be updated after project staffing/release alignment</x:v>
      </x:c>
      <x:c r="F11" s="92" t="str">
        <x:v>Formula health</x:v>
      </x:c>
      <x:c r="G11" s="101" t="str">
        <x:f>IF(COUNTIF('WBS'!$G$5:$G$21,"#REF!")=0,"OK","CHECK")</x:f>
        <x:v>OK</x:v>
      </x:c>
    </x:row>
    <x:row r="12" ht="22" customHeight="1"/>
    <x:row r="13" ht="22" customHeight="1">
      <x:c r="A13" s="104" t="str">
        <x:v>Source registry and planning rationale</x:v>
      </x:c>
    </x:row>
    <x:row r="14" ht="22" customHeight="1">
      <x:c r="A14" s="20" t="str">
        <x:v>Source</x:v>
      </x:c>
      <x:c r="B14" s="21" t="str">
        <x:v>Scope used</x:v>
      </x:c>
      <x:c r="C14" s="21" t="str">
        <x:v>Planning implication</x:v>
      </x:c>
      <x:c r="D14" s="21" t="str"/>
      <x:c r="E14" s="21" t="str">
        <x:v>Key remediation</x:v>
      </x:c>
      <x:c r="F14" s="21" t="str">
        <x:v>Sequence</x:v>
      </x:c>
      <x:c r="G14" s="21" t="str">
        <x:v>Acceptance theme</x:v>
      </x:c>
      <x:c r="H14" s="22" t="str"/>
    </x:row>
    <x:row r="15" ht="22" customHeight="1">
      <x:c r="A15" s="105" t="str">
        <x:v>README.md</x:v>
      </x:c>
      <x:c r="B15" s="43" t="str">
        <x:v>MVP spine and deterministic/production execution contracts</x:v>
      </x:c>
      <x:c r="C15" s="43" t="str">
        <x:v>Plan preserves FE → AI API → backtest dependency and verification gates</x:v>
      </x:c>
      <x:c r="D15" s="43" t="str"/>
      <x:c r="E15" s="43" t="str">
        <x:v>P-4</x:v>
      </x:c>
      <x:c r="F15" s="43" t="str">
        <x:v>1</x:v>
      </x:c>
      <x:c r="G15" s="43" t="str">
        <x:v>Remove unsupported walk-forward wording</x:v>
      </x:c>
      <x:c r="H15" s="44" t="str"/>
    </x:row>
    <x:row r="16" ht="22" customHeight="1">
      <x:c r="A16" s="106" t="str">
        <x:v>진행상황-개선기획.md</x:v>
      </x:c>
      <x:c r="B16" s="46" t="str">
        <x:v>Prioritized remediation and measured rationale</x:v>
      </x:c>
      <x:c r="C16" s="46" t="str">
        <x:v>P-4, P-1, P-3, P-2, P-5 are sequenced as documented</x:v>
      </x:c>
      <x:c r="D16" s="46" t="str"/>
      <x:c r="E16" s="46" t="str">
        <x:v>P-1</x:v>
      </x:c>
      <x:c r="F16" s="46" t="str">
        <x:v>2</x:v>
      </x:c>
      <x:c r="G16" s="46" t="str">
        <x:v>As-of liquid universe + evidence</x:v>
      </x:c>
      <x:c r="H16" s="47" t="str"/>
    </x:row>
    <x:row r="17" ht="22" customHeight="1">
      <x:c r="A17" s="106" t="str">
        <x:v>진행상황-문제정의-2.md</x:v>
      </x:c>
      <x:c r="B17" s="46" t="str">
        <x:v>Correctness and operational risks</x:v>
      </x:c>
      <x:c r="C17" s="46" t="str">
        <x:v>Warm-up and transparent out-of-sample reporting are explicit acceptance gates</x:v>
      </x:c>
      <x:c r="D17" s="46" t="str"/>
      <x:c r="E17" s="46" t="str">
        <x:v>P-3</x:v>
      </x:c>
      <x:c r="F17" s="46" t="str">
        <x:v>3</x:v>
      </x:c>
      <x:c r="G17" s="46" t="str">
        <x:v>Holdout-only headline, candidate N, DSR</x:v>
      </x:c>
      <x:c r="H17" s="47" t="str"/>
    </x:row>
    <x:row r="18" ht="22" customHeight="1">
      <x:c r="A18" s="106" t="str">
        <x:v>docs/PROJECT_FLOW_AND_DEBT_GUIDE.md</x:v>
      </x:c>
      <x:c r="B18" s="46" t="str">
        <x:v>Actual system topology and debt map</x:v>
      </x:c>
      <x:c r="C18" s="46" t="str">
        <x:v>Owners and release checks span FE, AI, backtest, DE, and QA interfaces</x:v>
      </x:c>
      <x:c r="D18" s="46" t="str"/>
      <x:c r="E18" s="46" t="str">
        <x:v>P-2</x:v>
      </x:c>
      <x:c r="F18" s="46" t="str">
        <x:v>4</x:v>
      </x:c>
      <x:c r="G18" s="46" t="str">
        <x:v>Abstain rather than make unsupported recommendation</x:v>
      </x:c>
      <x:c r="H18" s="47" t="str"/>
    </x:row>
    <x:row r="19" ht="22" customHeight="1">
      <x:c r="A19" s="107" t="str">
        <x:v>진행상황-개선기획.md</x:v>
      </x:c>
      <x:c r="B19" s="49" t="str">
        <x:v>Start-order table</x:v>
      </x:c>
      <x:c r="C19" s="49" t="str">
        <x:v>Warm-up is localized after evidence and reporting safeguards</x:v>
      </x:c>
      <x:c r="D19" s="49" t="str"/>
      <x:c r="E19" s="49" t="str">
        <x:v>P-5</x:v>
      </x:c>
      <x:c r="F19" s="49" t="str">
        <x:v>5</x:v>
      </x:c>
      <x:c r="G19" s="49" t="str">
        <x:v>No pre-window indicator signal</x:v>
      </x:c>
      <x:c r="H19" s="50" t="str"/>
    </x:row>
    <x:row r="20" ht="22" customHeight="1"/>
    <x:row r="21" ht="22" customHeight="1">
      <x:c r="A21" s="103" t="str">
        <x:v>Use this workbook</x:v>
      </x:c>
    </x:row>
    <x:row r="22" ht="22" customHeight="1">
      <x:c r="A22" s="127" t="str">
        <x:v>1. Set the planning start date in B9.  2. Replace role owners with named owners and update status/progress.  3. Preserve formula cells in green/black so schedule and summary remain auditable.  4. Treat DSN-gated real-data validation as an open release gate until evidence is captured.</x:v>
      </x:c>
      <x:c r="B22" s="128"/>
      <x:c r="C22" s="128"/>
      <x:c r="D22" s="128"/>
      <x:c r="E22" s="128"/>
      <x:c r="F22" s="128"/>
      <x:c r="G22" s="128"/>
      <x:c r="H22" s="129"/>
    </x:row>
    <x:row r="23" ht="22" customHeight="1">
      <x:c r="A23" s="130"/>
      <x:c r="B23" s="131"/>
      <x:c r="C23" s="131"/>
      <x:c r="D23" s="131"/>
      <x:c r="E23" s="131"/>
      <x:c r="F23" s="131"/>
      <x:c r="G23" s="131"/>
      <x:c r="H23" s="132"/>
    </x:row>
    <x:row r="24" ht="22" customHeight="1">
      <x:c r="A24" s="130"/>
      <x:c r="B24" s="131"/>
      <x:c r="C24" s="131"/>
      <x:c r="D24" s="131"/>
      <x:c r="E24" s="131"/>
      <x:c r="F24" s="131"/>
      <x:c r="G24" s="131"/>
      <x:c r="H24" s="132"/>
    </x:row>
    <x:row r="25" ht="22" customHeight="1">
      <x:c r="A25" s="133"/>
      <x:c r="B25" s="134"/>
      <x:c r="C25" s="134"/>
      <x:c r="D25" s="134"/>
      <x:c r="E25" s="134"/>
      <x:c r="F25" s="134"/>
      <x:c r="G25" s="134"/>
      <x:c r="H25" s="135"/>
    </x:row>
  </x:sheetData>
  <x:mergeCells>
    <x:mergeCell ref="A1:H1"/>
    <x:mergeCell ref="A2:H2"/>
    <x:mergeCell ref="A13:H13"/>
    <x:mergeCell ref="A21:H21"/>
    <x:mergeCell ref="A22:H22"/>
    <x:mergeCell ref="A23:H23"/>
    <x:mergeCell ref="A24:H24"/>
    <x:mergeCell ref="A25:H25"/>
  </x:mergeCells>
  <x:conditionalFormatting sqref="G10:G11">
    <x:cfRule type="containsText" dxfId="6" priority="1" operator="containsText" text="OK"/>
    <x:cfRule type="containsText" dxfId="7" priority="2" operator="containsText" text="Review"/>
  </x:conditionalFormatting>
  <x:pageMargins left="0.7" right="0.7" top="0.75" bottom="0.75" header="0.3" footer="0.3"/>
</x:worksheet>
</file>